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<sst xmlns="http://schemas.openxmlformats.org/spreadsheetml/2006/main" count="44" uniqueCount="43">
  <si>
    <r>
      <rPr>
        <rFont val="Arial"/>
        <b/>
        <color theme="1"/>
      </rPr>
      <t>Problem Statement :</t>
    </r>
    <r>
      <rPr>
        <rFont val="Arial"/>
        <color theme="1"/>
      </rPr>
      <t xml:space="preserve"> To predict the product sales based on the money spend on TV ads.</t>
    </r>
  </si>
  <si>
    <r>
      <rPr>
        <rFont val="Arial"/>
        <b/>
        <color theme="1"/>
      </rPr>
      <t xml:space="preserve">Independent Variable </t>
    </r>
    <r>
      <rPr>
        <rFont val="Arial"/>
        <color theme="1"/>
      </rPr>
      <t>: Money spend on TV ads</t>
    </r>
  </si>
  <si>
    <r>
      <rPr>
        <rFont val="Arial"/>
        <b/>
        <color theme="1"/>
      </rPr>
      <t xml:space="preserve">Dependent Variable : </t>
    </r>
    <r>
      <rPr>
        <rFont val="Arial"/>
        <color theme="1"/>
      </rPr>
      <t>Product sales</t>
    </r>
  </si>
  <si>
    <t>Sample Data</t>
  </si>
  <si>
    <t>Observation</t>
  </si>
  <si>
    <t>TV ad spend (X)</t>
  </si>
  <si>
    <t>Sales (Y)</t>
  </si>
  <si>
    <t>Formula</t>
  </si>
  <si>
    <t>Y = mX + C</t>
  </si>
  <si>
    <t>Linear Equation</t>
  </si>
  <si>
    <t>Where, Y - Dependent variable</t>
  </si>
  <si>
    <t>X- Independent variable</t>
  </si>
  <si>
    <t>m - Slope</t>
  </si>
  <si>
    <t>C - Intercept</t>
  </si>
  <si>
    <t>Step: 1</t>
  </si>
  <si>
    <t>Calculating the mean of X and Y</t>
  </si>
  <si>
    <t>X'</t>
  </si>
  <si>
    <t>Y'</t>
  </si>
  <si>
    <t>Step: 2</t>
  </si>
  <si>
    <t>Calculating the Slope</t>
  </si>
  <si>
    <t>X</t>
  </si>
  <si>
    <t>Y</t>
  </si>
  <si>
    <t>X-X'</t>
  </si>
  <si>
    <t>Y-Y'</t>
  </si>
  <si>
    <t>(X-X')(Y-Y')</t>
  </si>
  <si>
    <t>(X-X')^2</t>
  </si>
  <si>
    <t>Slope,</t>
  </si>
  <si>
    <t>m=</t>
  </si>
  <si>
    <t>Σ [ (X-X')(Y-Y') ] / Σ [ (X-X')^2]</t>
  </si>
  <si>
    <t>m</t>
  </si>
  <si>
    <t>Step: 3</t>
  </si>
  <si>
    <t>Calculate the intercept</t>
  </si>
  <si>
    <t>Y' = mX' + C</t>
  </si>
  <si>
    <t>C = Y'-mX'</t>
  </si>
  <si>
    <t xml:space="preserve">C </t>
  </si>
  <si>
    <t>Step : 4</t>
  </si>
  <si>
    <t>Building the linear regression formula</t>
  </si>
  <si>
    <t>Y = 0.05X+8.179</t>
  </si>
  <si>
    <t>Sales = 0.05*TV ad Spend + 8.179</t>
  </si>
  <si>
    <t>Step: 5</t>
  </si>
  <si>
    <t>Make the predictions</t>
  </si>
  <si>
    <t>TV ad spend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</si>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</sst>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sz val="12.0"/>
      <color rgb="FF444444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4" fillId="0" fontId="1" numFmtId="0" xfId="0" applyBorder="1" applyFont="1"/>
    <xf borderId="4" fillId="0" fontId="2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/>
    </xf>
    <xf borderId="0" fillId="0" fontId="3" numFmtId="0" xfId="0" applyFont="1"/>
    <xf borderId="5" fillId="0" fontId="3" numFmtId="0" xfId="0" applyBorder="1" applyFont="1"/>
    <xf borderId="6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0" fillId="2" fontId="4" numFmtId="0" xfId="0" applyAlignment="1" applyFill="1" applyFont="1">
      <alignment readingOrder="0"/>
    </xf>
    <xf borderId="4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center"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1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F2" s="5"/>
    </row>
    <row r="3">
      <c r="A3" s="4" t="s">
        <v>2</v>
      </c>
      <c r="F3" s="5"/>
    </row>
    <row r="4">
      <c r="A4" s="6"/>
      <c r="F4" s="5"/>
    </row>
    <row r="5">
      <c r="A5" s="7" t="s">
        <v>3</v>
      </c>
      <c r="F5" s="5"/>
    </row>
    <row r="6">
      <c r="A6" s="6"/>
      <c r="F6" s="5"/>
    </row>
    <row r="7">
      <c r="A7" s="8" t="s">
        <v>4</v>
      </c>
      <c r="B7" s="8" t="s">
        <v>5</v>
      </c>
      <c r="C7" s="8" t="s">
        <v>6</v>
      </c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1.0</v>
      </c>
      <c r="B8" s="11">
        <v>230.1</v>
      </c>
      <c r="C8" s="11">
        <v>22.1</v>
      </c>
      <c r="F8" s="5"/>
    </row>
    <row r="9">
      <c r="A9" s="11">
        <v>2.0</v>
      </c>
      <c r="B9" s="11">
        <v>44.5</v>
      </c>
      <c r="C9" s="11">
        <v>10.4</v>
      </c>
      <c r="F9" s="5"/>
    </row>
    <row r="10">
      <c r="A10" s="11">
        <v>3.0</v>
      </c>
      <c r="B10" s="11">
        <v>17.2</v>
      </c>
      <c r="C10" s="11">
        <v>9.3</v>
      </c>
      <c r="F10" s="5"/>
    </row>
    <row r="11">
      <c r="A11" s="11">
        <v>4.0</v>
      </c>
      <c r="B11" s="11">
        <v>151.5</v>
      </c>
      <c r="C11" s="11">
        <v>18.5</v>
      </c>
      <c r="F11" s="5"/>
    </row>
    <row r="12">
      <c r="A12" s="11">
        <v>5.0</v>
      </c>
      <c r="B12" s="11">
        <v>180.8</v>
      </c>
      <c r="C12" s="11">
        <v>12.9</v>
      </c>
      <c r="F12" s="5"/>
    </row>
    <row r="13">
      <c r="A13" s="6"/>
      <c r="F13" s="5"/>
    </row>
    <row r="14">
      <c r="A14" s="7" t="s">
        <v>7</v>
      </c>
      <c r="F14" s="5"/>
    </row>
    <row r="15">
      <c r="A15" s="4" t="s">
        <v>8</v>
      </c>
      <c r="B15" s="12" t="s">
        <v>9</v>
      </c>
      <c r="F15" s="5"/>
    </row>
    <row r="16">
      <c r="A16" s="6"/>
      <c r="F16" s="5"/>
    </row>
    <row r="17">
      <c r="A17" s="4" t="s">
        <v>10</v>
      </c>
      <c r="F17" s="5"/>
    </row>
    <row r="18">
      <c r="A18" s="4" t="s">
        <v>11</v>
      </c>
      <c r="F18" s="5"/>
    </row>
    <row r="19">
      <c r="A19" s="4" t="s">
        <v>12</v>
      </c>
      <c r="F19" s="5"/>
    </row>
    <row r="20">
      <c r="A20" s="4" t="s">
        <v>13</v>
      </c>
      <c r="F20" s="5"/>
    </row>
    <row r="21">
      <c r="A21" s="6"/>
      <c r="F21" s="5"/>
    </row>
    <row r="22">
      <c r="A22" s="7" t="s">
        <v>14</v>
      </c>
      <c r="F22" s="5"/>
    </row>
    <row r="23">
      <c r="A23" s="4" t="s">
        <v>15</v>
      </c>
      <c r="F23" s="5"/>
    </row>
    <row r="24">
      <c r="A24" s="13" t="s">
        <v>16</v>
      </c>
      <c r="B24" s="14">
        <f>SUM(B8:B12)/5</f>
        <v>124.82</v>
      </c>
      <c r="F24" s="5"/>
    </row>
    <row r="25">
      <c r="A25" s="13" t="s">
        <v>17</v>
      </c>
      <c r="B25" s="14">
        <f>SUM(C8:C12)/5</f>
        <v>14.64</v>
      </c>
      <c r="F25" s="5"/>
    </row>
    <row r="26">
      <c r="A26" s="6"/>
      <c r="F26" s="5"/>
    </row>
    <row r="27">
      <c r="A27" s="7" t="s">
        <v>18</v>
      </c>
      <c r="F27" s="5"/>
    </row>
    <row r="28">
      <c r="A28" s="4" t="s">
        <v>19</v>
      </c>
      <c r="F28" s="5"/>
    </row>
    <row r="29">
      <c r="A29" s="11" t="s">
        <v>20</v>
      </c>
      <c r="B29" s="11" t="s">
        <v>21</v>
      </c>
      <c r="C29" s="11" t="s">
        <v>22</v>
      </c>
      <c r="D29" s="11" t="s">
        <v>23</v>
      </c>
      <c r="E29" s="11" t="s">
        <v>24</v>
      </c>
      <c r="F29" s="11" t="s">
        <v>25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1">
        <v>230.1</v>
      </c>
      <c r="B30" s="11">
        <v>22.1</v>
      </c>
      <c r="C30" s="15">
        <f t="shared" ref="C30:C34" si="1">A30-$B$24</f>
        <v>105.28</v>
      </c>
      <c r="D30" s="15">
        <f t="shared" ref="D30:D34" si="2">B30-$B$25</f>
        <v>7.46</v>
      </c>
      <c r="E30" s="15">
        <f t="shared" ref="E30:E34" si="3">C30*D30</f>
        <v>785.3888</v>
      </c>
      <c r="F30" s="16">
        <f t="shared" ref="F30:F34" si="4">C30*C30</f>
        <v>11083.8784</v>
      </c>
    </row>
    <row r="31">
      <c r="A31" s="11">
        <v>44.5</v>
      </c>
      <c r="B31" s="11">
        <v>10.4</v>
      </c>
      <c r="C31" s="15">
        <f t="shared" si="1"/>
        <v>-80.32</v>
      </c>
      <c r="D31" s="15">
        <f t="shared" si="2"/>
        <v>-4.24</v>
      </c>
      <c r="E31" s="15">
        <f t="shared" si="3"/>
        <v>340.5568</v>
      </c>
      <c r="F31" s="16">
        <f t="shared" si="4"/>
        <v>6451.3024</v>
      </c>
    </row>
    <row r="32">
      <c r="A32" s="11">
        <v>17.2</v>
      </c>
      <c r="B32" s="11">
        <v>9.3</v>
      </c>
      <c r="C32" s="15">
        <f t="shared" si="1"/>
        <v>-107.62</v>
      </c>
      <c r="D32" s="15">
        <f t="shared" si="2"/>
        <v>-5.34</v>
      </c>
      <c r="E32" s="15">
        <f t="shared" si="3"/>
        <v>574.6908</v>
      </c>
      <c r="F32" s="16">
        <f t="shared" si="4"/>
        <v>11582.0644</v>
      </c>
    </row>
    <row r="33">
      <c r="A33" s="11">
        <v>151.5</v>
      </c>
      <c r="B33" s="11">
        <v>18.5</v>
      </c>
      <c r="C33" s="15">
        <f t="shared" si="1"/>
        <v>26.68</v>
      </c>
      <c r="D33" s="15">
        <f t="shared" si="2"/>
        <v>3.86</v>
      </c>
      <c r="E33" s="15">
        <f t="shared" si="3"/>
        <v>102.9848</v>
      </c>
      <c r="F33" s="16">
        <f t="shared" si="4"/>
        <v>711.8224</v>
      </c>
    </row>
    <row r="34">
      <c r="A34" s="11">
        <v>180.8</v>
      </c>
      <c r="B34" s="11">
        <v>12.9</v>
      </c>
      <c r="C34" s="15">
        <f t="shared" si="1"/>
        <v>55.98</v>
      </c>
      <c r="D34" s="15">
        <f t="shared" si="2"/>
        <v>-1.74</v>
      </c>
      <c r="E34" s="15">
        <f t="shared" si="3"/>
        <v>-97.4052</v>
      </c>
      <c r="F34" s="16">
        <f t="shared" si="4"/>
        <v>3133.7604</v>
      </c>
    </row>
    <row r="35">
      <c r="A35" s="16"/>
      <c r="B35" s="16"/>
      <c r="C35" s="16"/>
      <c r="D35" s="16"/>
      <c r="E35" s="16">
        <f t="shared" ref="E35:F35" si="5">SUM(E30:E34)</f>
        <v>1706.216</v>
      </c>
      <c r="F35" s="16">
        <f t="shared" si="5"/>
        <v>32962.828</v>
      </c>
    </row>
    <row r="36">
      <c r="A36" s="4"/>
      <c r="B36" s="17"/>
      <c r="F36" s="5"/>
    </row>
    <row r="37">
      <c r="A37" s="4" t="s">
        <v>26</v>
      </c>
      <c r="B37" s="17"/>
      <c r="F37" s="5"/>
    </row>
    <row r="38">
      <c r="A38" s="13" t="s">
        <v>27</v>
      </c>
      <c r="B38" s="17" t="s">
        <v>28</v>
      </c>
      <c r="F38" s="5"/>
    </row>
    <row r="39">
      <c r="A39" s="13" t="s">
        <v>29</v>
      </c>
      <c r="B39" s="14">
        <f>E35/F35</f>
        <v>0.05176182092</v>
      </c>
      <c r="F39" s="5"/>
    </row>
    <row r="40">
      <c r="A40" s="6"/>
      <c r="F40" s="5"/>
    </row>
    <row r="41">
      <c r="A41" s="7" t="s">
        <v>30</v>
      </c>
      <c r="F41" s="5"/>
    </row>
    <row r="42">
      <c r="A42" s="4" t="s">
        <v>31</v>
      </c>
      <c r="F42" s="5"/>
    </row>
    <row r="43">
      <c r="A43" s="6"/>
      <c r="F43" s="5"/>
    </row>
    <row r="44">
      <c r="A44" s="4" t="s">
        <v>32</v>
      </c>
      <c r="F44" s="5"/>
    </row>
    <row r="45">
      <c r="A45" s="4" t="s">
        <v>33</v>
      </c>
      <c r="F45" s="5"/>
    </row>
    <row r="46">
      <c r="A46" s="13" t="s">
        <v>34</v>
      </c>
      <c r="B46" s="14">
        <f>B25-(B39*B24)</f>
        <v>8.179089513</v>
      </c>
      <c r="F46" s="5"/>
    </row>
    <row r="47">
      <c r="A47" s="6"/>
      <c r="F47" s="5"/>
    </row>
    <row r="48">
      <c r="A48" s="7" t="s">
        <v>35</v>
      </c>
      <c r="F48" s="5"/>
    </row>
    <row r="49">
      <c r="A49" s="4" t="s">
        <v>36</v>
      </c>
      <c r="F49" s="5"/>
    </row>
    <row r="50">
      <c r="A50" s="4" t="s">
        <v>8</v>
      </c>
      <c r="F50" s="5"/>
    </row>
    <row r="51">
      <c r="A51" s="4" t="s">
        <v>37</v>
      </c>
      <c r="F51" s="5"/>
    </row>
    <row r="52">
      <c r="A52" s="6"/>
      <c r="F52" s="5"/>
    </row>
    <row r="53">
      <c r="A53" s="4" t="s">
        <v>38</v>
      </c>
      <c r="F53" s="5"/>
    </row>
    <row r="54">
      <c r="A54" s="6"/>
      <c r="F54" s="5"/>
    </row>
    <row r="55">
      <c r="A55" s="7" t="s">
        <v>39</v>
      </c>
      <c r="F55" s="5"/>
    </row>
    <row r="56">
      <c r="A56" s="4" t="s">
        <v>40</v>
      </c>
      <c r="F56" s="5"/>
    </row>
    <row r="57">
      <c r="A57" s="6"/>
      <c r="F57" s="5"/>
    </row>
    <row r="58">
      <c r="A58" s="18" t="s">
        <v>41</v>
      </c>
      <c r="B58" s="19">
        <v>200.0</v>
      </c>
      <c r="F58" s="5"/>
    </row>
    <row r="59">
      <c r="A59" s="18" t="s">
        <v>42</v>
      </c>
      <c r="B59" s="14">
        <f>(0.05*200)+8.179</f>
        <v>18.179</v>
      </c>
      <c r="F59" s="5"/>
    </row>
    <row r="60">
      <c r="A60" s="20"/>
      <c r="B60" s="21"/>
      <c r="C60" s="21"/>
      <c r="D60" s="21"/>
      <c r="E60" s="21"/>
      <c r="F60" s="22"/>
    </row>
  </sheetData>
  <drawing r:id="rId1"/>
</worksheet>
</file>