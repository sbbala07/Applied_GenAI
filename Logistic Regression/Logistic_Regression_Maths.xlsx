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<sst xmlns="http://schemas.openxmlformats.org/spreadsheetml/2006/main" count="80" uniqueCount="65">
  <si>
    <r>
      <rPr>
        <rFont val="Arial"/>
        <b/>
        <color theme="1"/>
      </rPr>
      <t>Problem statement :</t>
    </r>
    <r>
      <rPr>
        <rFont val="Arial"/>
        <color theme="1"/>
      </rPr>
      <t xml:space="preserve"> To classify the wheather the given flower is setosa or not.</t>
    </r>
  </si>
  <si>
    <r>
      <rPr>
        <rFont val="Arial"/>
        <b/>
        <color theme="1"/>
        <u/>
      </rPr>
      <t>Step:1</t>
    </r>
    <r>
      <rPr>
        <rFont val="Arial"/>
        <color theme="1"/>
      </rPr>
      <t xml:space="preserve"> - Sample Dataset</t>
    </r>
  </si>
  <si>
    <t>Observation</t>
  </si>
  <si>
    <t>Petal length(cm)- X</t>
  </si>
  <si>
    <t>Species(Y)</t>
  </si>
  <si>
    <t>Numeric_Species</t>
  </si>
  <si>
    <t>Setosa</t>
  </si>
  <si>
    <t>Versicolor</t>
  </si>
  <si>
    <t>Virginica</t>
  </si>
  <si>
    <r>
      <rPr>
        <rFont val="Arial"/>
        <b/>
        <color theme="1"/>
        <u/>
      </rPr>
      <t>Step: 2</t>
    </r>
    <r>
      <rPr>
        <rFont val="Arial"/>
        <color theme="1"/>
      </rPr>
      <t xml:space="preserve"> - Formula for logistic function</t>
    </r>
  </si>
  <si>
    <t>Z = 1/(1+e^-(b0+b1X)</t>
  </si>
  <si>
    <t>where,</t>
  </si>
  <si>
    <t>b1- Slope</t>
  </si>
  <si>
    <t>b0- intercept</t>
  </si>
  <si>
    <t>X- Independent variable</t>
  </si>
  <si>
    <r>
      <rPr>
        <rFont val="Arial"/>
        <b/>
        <color theme="1"/>
        <u/>
      </rPr>
      <t>Step: 3</t>
    </r>
    <r>
      <rPr>
        <rFont val="Arial"/>
        <color theme="1"/>
      </rPr>
      <t xml:space="preserve"> - Calculating b1 (Slope m)</t>
    </r>
  </si>
  <si>
    <t>b1=</t>
  </si>
  <si>
    <t>Σ [ (X-X')(Y-Y') ] / Σ [ (X-X')^2]</t>
  </si>
  <si>
    <t>X' =</t>
  </si>
  <si>
    <t>Y' =</t>
  </si>
  <si>
    <t>X</t>
  </si>
  <si>
    <t>Y</t>
  </si>
  <si>
    <t>X-X'</t>
  </si>
  <si>
    <t>Y-Y'</t>
  </si>
  <si>
    <t>(X-X')(Y-Y')</t>
  </si>
  <si>
    <t>(X-X')^2</t>
  </si>
  <si>
    <t>SUM</t>
  </si>
  <si>
    <t xml:space="preserve">b1 = </t>
  </si>
  <si>
    <r>
      <rPr>
        <rFont val="Arial"/>
        <b/>
        <color theme="1"/>
        <u/>
      </rPr>
      <t xml:space="preserve">Step: 4 </t>
    </r>
    <r>
      <rPr>
        <rFont val="Arial"/>
        <color theme="1"/>
      </rPr>
      <t>- Calculating b0 (Intercept)</t>
    </r>
  </si>
  <si>
    <t>Y=</t>
  </si>
  <si>
    <t>b0+b1X</t>
  </si>
  <si>
    <t>b0=</t>
  </si>
  <si>
    <t>Y-b1X</t>
  </si>
  <si>
    <r>
      <rPr>
        <rFont val="Arial"/>
        <b/>
        <color theme="1"/>
        <u/>
      </rPr>
      <t>Step: 5</t>
    </r>
    <r>
      <rPr>
        <rFont val="Arial"/>
        <color theme="1"/>
      </rPr>
      <t xml:space="preserve"> - Formulating the Logistic regression</t>
    </r>
  </si>
  <si>
    <t xml:space="preserve">z = </t>
  </si>
  <si>
    <t>1/(1+e^-(1.4000+(-0.2899*X))</t>
  </si>
  <si>
    <r>
      <rPr>
        <rFont val="Arial"/>
        <b/>
        <color theme="1"/>
        <u/>
      </rPr>
      <t>Step: 6</t>
    </r>
    <r>
      <rPr>
        <rFont val="Arial"/>
        <color theme="1"/>
      </rPr>
      <t xml:space="preserve"> - Predicting the result using the trained model</t>
    </r>
  </si>
  <si>
    <t>Case:1</t>
  </si>
  <si>
    <t>Petal length (x)</t>
  </si>
  <si>
    <t>1/(1+e^-(1.4000+(-0.2899*1.4))</t>
  </si>
  <si>
    <t xml:space="preserve">z= </t>
  </si>
  <si>
    <t>Assume threshold is 0.5</t>
  </si>
  <si>
    <t>Since the obtained probablility value is 0.72, which is greater than 0.5, so the given flower with petal length 1.4cm is setosa</t>
  </si>
  <si>
    <t>Case: 2</t>
  </si>
  <si>
    <t>1/(1+e^-(1.4000+(-0.2899*4.5))</t>
  </si>
  <si>
    <t>Since the obtained value is 0.52 which is 0.2% greater than the threshold of 0.5, the given flower with petal length 4.5cm may be setosa.</t>
  </si>
  <si>
    <t>Case:3</t>
  </si>
  <si>
    <t>1/(1+e^-(1.4000+(-0.2899*5.1))</t>
  </si>
  <si>
    <t>Since the obtained probablility value is 0.48, which is lesser than 0.5, so the given flower with petal length 5.1cm is not setosa</t>
  </si>
  <si>
    <t>Case:4</t>
  </si>
  <si>
    <t>1/(1+e^-(1.4000+(-0.2899*7.1))</t>
  </si>
  <si>
    <t>Since the obtained probablility value is 0.34, which is lesser than 0.5, so the given flower with petal length 7.1cm is not setosa</t>
  </si>
  <si>
    <t>Examples</t>
  </si>
  <si>
    <t>Petal length(X)</t>
  </si>
  <si>
    <t>1/(1+e^-(1.4000+(-0.2899*-5))</t>
  </si>
  <si>
    <t>1/(1+e^-(1.4000+(-0.2899*-4))</t>
  </si>
  <si>
    <t>1/(1+e^-(1.4000+(-0.2899*-3))</t>
  </si>
  <si>
    <t>1/(1+e^-(1.4000+(-0.2899*-2))</t>
  </si>
  <si>
    <t>1/(1+e^-(1.4000+(-0.2899*-1))</t>
  </si>
  <si>
    <t>1/(1+e^-(1.4000+(-0.2899*0))</t>
  </si>
  <si>
    <t>1/(1+e^-(1.4000+(-0.2899*1))</t>
  </si>
  <si>
    <t>1/(1+e^-(1.4000+(-0.2899*2))</t>
  </si>
  <si>
    <t>1/(1+e^-(1.4000+(-0.2899*3))</t>
  </si>
  <si>
    <t>1/(1+e^-(1.4000+(-0.2899*4))</t>
  </si>
  <si>
    <t>1/(1+e^-(1.4000+(-0.2899*5))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</si>
</sst>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rgb="FF444444"/>
      <name val="Poppins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1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2" fontId="2" numFmtId="0" xfId="0" applyAlignment="1" applyBorder="1" applyFill="1" applyFont="1">
      <alignment horizontal="center" readingOrder="0"/>
    </xf>
    <xf borderId="0" fillId="0" fontId="2" numFmtId="0" xfId="0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4" fillId="0" fontId="3" numFmtId="0" xfId="0" applyAlignment="1" applyBorder="1" applyFont="1">
      <alignment horizontal="right" readingOrder="0" vertical="bottom"/>
    </xf>
    <xf borderId="0" fillId="3" fontId="4" numFmtId="0" xfId="0" applyAlignment="1" applyFill="1" applyFont="1">
      <alignment vertical="bottom"/>
    </xf>
    <xf borderId="4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4" fillId="0" fontId="3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readingOrder="0"/>
    </xf>
    <xf borderId="6" fillId="4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left"/>
    </xf>
    <xf borderId="4" fillId="0" fontId="5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4" fillId="0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6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24.63"/>
    <col customWidth="1" min="8" max="12" width="2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6" t="s">
        <v>1</v>
      </c>
      <c r="L3" s="5"/>
    </row>
    <row r="4">
      <c r="A4" s="4"/>
      <c r="L4" s="5"/>
    </row>
    <row r="5">
      <c r="A5" s="7" t="s">
        <v>2</v>
      </c>
      <c r="B5" s="7" t="s">
        <v>3</v>
      </c>
      <c r="C5" s="7" t="s">
        <v>4</v>
      </c>
      <c r="D5" s="8" t="s">
        <v>5</v>
      </c>
      <c r="E5" s="9"/>
      <c r="F5" s="9"/>
      <c r="G5" s="9"/>
      <c r="H5" s="9"/>
      <c r="I5" s="9"/>
      <c r="J5" s="9"/>
      <c r="K5" s="9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>
        <v>1.0</v>
      </c>
      <c r="B6" s="11">
        <v>1.4</v>
      </c>
      <c r="C6" s="11" t="s">
        <v>6</v>
      </c>
      <c r="D6" s="11">
        <v>1.0</v>
      </c>
      <c r="L6" s="5"/>
    </row>
    <row r="7">
      <c r="A7" s="11">
        <v>2.0</v>
      </c>
      <c r="B7" s="11">
        <v>1.5</v>
      </c>
      <c r="C7" s="11" t="s">
        <v>6</v>
      </c>
      <c r="D7" s="11">
        <v>1.0</v>
      </c>
      <c r="L7" s="5"/>
    </row>
    <row r="8">
      <c r="A8" s="11">
        <v>3.0</v>
      </c>
      <c r="B8" s="11">
        <v>1.3</v>
      </c>
      <c r="C8" s="11" t="s">
        <v>6</v>
      </c>
      <c r="D8" s="11">
        <v>1.0</v>
      </c>
      <c r="L8" s="5"/>
    </row>
    <row r="9">
      <c r="A9" s="11">
        <v>4.0</v>
      </c>
      <c r="B9" s="11">
        <v>4.5</v>
      </c>
      <c r="C9" s="11" t="s">
        <v>7</v>
      </c>
      <c r="D9" s="11">
        <v>0.0</v>
      </c>
      <c r="L9" s="5"/>
    </row>
    <row r="10">
      <c r="A10" s="11">
        <v>5.0</v>
      </c>
      <c r="B10" s="11">
        <v>5.1</v>
      </c>
      <c r="C10" s="11" t="s">
        <v>8</v>
      </c>
      <c r="D10" s="11">
        <v>0.0</v>
      </c>
      <c r="L10" s="5"/>
    </row>
    <row r="11">
      <c r="A11" s="4"/>
      <c r="L11" s="5"/>
    </row>
    <row r="12">
      <c r="A12" s="6" t="s">
        <v>9</v>
      </c>
      <c r="L12" s="5"/>
    </row>
    <row r="13">
      <c r="A13" s="4"/>
      <c r="L13" s="5"/>
    </row>
    <row r="14">
      <c r="A14" s="6" t="s">
        <v>10</v>
      </c>
      <c r="L14" s="5"/>
    </row>
    <row r="15">
      <c r="A15" s="6" t="s">
        <v>11</v>
      </c>
      <c r="L15" s="5"/>
    </row>
    <row r="16">
      <c r="A16" s="6" t="s">
        <v>12</v>
      </c>
      <c r="B16" s="12" t="s">
        <v>13</v>
      </c>
      <c r="L16" s="5"/>
    </row>
    <row r="17">
      <c r="A17" s="6" t="s">
        <v>14</v>
      </c>
      <c r="L17" s="5"/>
    </row>
    <row r="18">
      <c r="A18" s="4"/>
      <c r="L18" s="5"/>
    </row>
    <row r="19">
      <c r="A19" s="6" t="s">
        <v>15</v>
      </c>
      <c r="L19" s="5"/>
    </row>
    <row r="20">
      <c r="A20" s="4"/>
      <c r="L20" s="5"/>
    </row>
    <row r="21">
      <c r="A21" s="13" t="s">
        <v>16</v>
      </c>
      <c r="B21" s="14" t="s">
        <v>17</v>
      </c>
      <c r="L21" s="5"/>
    </row>
    <row r="22">
      <c r="A22" s="15"/>
      <c r="B22" s="16"/>
      <c r="L22" s="5"/>
    </row>
    <row r="23">
      <c r="A23" s="15" t="s">
        <v>18</v>
      </c>
      <c r="B23" s="16">
        <f>SUM(B6:B10)/5</f>
        <v>2.76</v>
      </c>
      <c r="L23" s="5"/>
    </row>
    <row r="24">
      <c r="A24" s="15" t="s">
        <v>19</v>
      </c>
      <c r="B24" s="16">
        <f>SUM(D6:D10)/5</f>
        <v>0.6</v>
      </c>
      <c r="L24" s="5"/>
    </row>
    <row r="25">
      <c r="A25" s="17"/>
      <c r="B25" s="14"/>
      <c r="L25" s="5"/>
    </row>
    <row r="26">
      <c r="A26" s="7" t="s">
        <v>20</v>
      </c>
      <c r="B26" s="7" t="s">
        <v>21</v>
      </c>
      <c r="C26" s="7" t="s">
        <v>22</v>
      </c>
      <c r="D26" s="7" t="s">
        <v>23</v>
      </c>
      <c r="E26" s="7" t="s">
        <v>24</v>
      </c>
      <c r="F26" s="7" t="s">
        <v>25</v>
      </c>
      <c r="G26" s="9"/>
      <c r="H26" s="9"/>
      <c r="I26" s="9"/>
      <c r="J26" s="9"/>
      <c r="K26" s="9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>
        <v>1.4</v>
      </c>
      <c r="B27" s="11">
        <v>1.0</v>
      </c>
      <c r="C27" s="18">
        <f t="shared" ref="C27:C31" si="1">(A27-$B$23)</f>
        <v>-1.36</v>
      </c>
      <c r="D27" s="18">
        <f t="shared" ref="D27:D31" si="2">(B27-$B$24)</f>
        <v>0.4</v>
      </c>
      <c r="E27" s="18">
        <f t="shared" ref="E27:E31" si="3">C27*D27</f>
        <v>-0.544</v>
      </c>
      <c r="F27" s="18">
        <f t="shared" ref="F27:F31" si="4">C27*C27</f>
        <v>1.8496</v>
      </c>
      <c r="L27" s="5"/>
    </row>
    <row r="28">
      <c r="A28" s="11">
        <v>1.5</v>
      </c>
      <c r="B28" s="11">
        <v>1.0</v>
      </c>
      <c r="C28" s="18">
        <f t="shared" si="1"/>
        <v>-1.26</v>
      </c>
      <c r="D28" s="18">
        <f t="shared" si="2"/>
        <v>0.4</v>
      </c>
      <c r="E28" s="18">
        <f t="shared" si="3"/>
        <v>-0.504</v>
      </c>
      <c r="F28" s="18">
        <f t="shared" si="4"/>
        <v>1.5876</v>
      </c>
      <c r="L28" s="5"/>
    </row>
    <row r="29">
      <c r="A29" s="11">
        <v>1.3</v>
      </c>
      <c r="B29" s="11">
        <v>1.0</v>
      </c>
      <c r="C29" s="18">
        <f t="shared" si="1"/>
        <v>-1.46</v>
      </c>
      <c r="D29" s="18">
        <f t="shared" si="2"/>
        <v>0.4</v>
      </c>
      <c r="E29" s="18">
        <f t="shared" si="3"/>
        <v>-0.584</v>
      </c>
      <c r="F29" s="18">
        <f t="shared" si="4"/>
        <v>2.1316</v>
      </c>
      <c r="L29" s="5"/>
    </row>
    <row r="30">
      <c r="A30" s="11">
        <v>4.5</v>
      </c>
      <c r="B30" s="11">
        <v>0.0</v>
      </c>
      <c r="C30" s="18">
        <f t="shared" si="1"/>
        <v>1.74</v>
      </c>
      <c r="D30" s="18">
        <f t="shared" si="2"/>
        <v>-0.6</v>
      </c>
      <c r="E30" s="18">
        <f t="shared" si="3"/>
        <v>-1.044</v>
      </c>
      <c r="F30" s="18">
        <f t="shared" si="4"/>
        <v>3.0276</v>
      </c>
      <c r="L30" s="5"/>
    </row>
    <row r="31">
      <c r="A31" s="11">
        <v>5.1</v>
      </c>
      <c r="B31" s="11">
        <v>0.0</v>
      </c>
      <c r="C31" s="18">
        <f t="shared" si="1"/>
        <v>2.34</v>
      </c>
      <c r="D31" s="18">
        <f t="shared" si="2"/>
        <v>-0.6</v>
      </c>
      <c r="E31" s="18">
        <f t="shared" si="3"/>
        <v>-1.404</v>
      </c>
      <c r="F31" s="18">
        <f t="shared" si="4"/>
        <v>5.4756</v>
      </c>
      <c r="L31" s="5"/>
    </row>
    <row r="32">
      <c r="A32" s="4"/>
      <c r="D32" s="19" t="s">
        <v>26</v>
      </c>
      <c r="E32" s="20">
        <f t="shared" ref="E32:F32" si="5">SUM(E27:E31)</f>
        <v>-4.08</v>
      </c>
      <c r="F32" s="20">
        <f t="shared" si="5"/>
        <v>14.072</v>
      </c>
      <c r="L32" s="5"/>
    </row>
    <row r="33">
      <c r="A33" s="4"/>
      <c r="L33" s="5"/>
    </row>
    <row r="34">
      <c r="A34" s="21" t="s">
        <v>27</v>
      </c>
      <c r="B34" s="22">
        <f>E32/F32</f>
        <v>-0.2899374645</v>
      </c>
      <c r="L34" s="5"/>
    </row>
    <row r="35">
      <c r="A35" s="4"/>
      <c r="L35" s="5"/>
    </row>
    <row r="36">
      <c r="A36" s="6" t="s">
        <v>28</v>
      </c>
      <c r="L36" s="5"/>
    </row>
    <row r="37">
      <c r="A37" s="4"/>
      <c r="L37" s="5"/>
    </row>
    <row r="38">
      <c r="A38" s="15" t="s">
        <v>29</v>
      </c>
      <c r="B38" s="12" t="s">
        <v>30</v>
      </c>
      <c r="L38" s="5"/>
    </row>
    <row r="39">
      <c r="A39" s="15" t="s">
        <v>31</v>
      </c>
      <c r="B39" s="12" t="s">
        <v>32</v>
      </c>
      <c r="L39" s="5"/>
    </row>
    <row r="40">
      <c r="A40" s="15" t="s">
        <v>31</v>
      </c>
      <c r="B40" s="16">
        <f>(B24)-(B34*B23)</f>
        <v>1.400227402</v>
      </c>
      <c r="L40" s="5"/>
    </row>
    <row r="41">
      <c r="A41" s="4"/>
      <c r="L41" s="5"/>
    </row>
    <row r="42">
      <c r="A42" s="6" t="s">
        <v>33</v>
      </c>
      <c r="L42" s="5"/>
    </row>
    <row r="43">
      <c r="A43" s="4"/>
      <c r="L43" s="5"/>
    </row>
    <row r="44">
      <c r="A44" s="15" t="s">
        <v>34</v>
      </c>
      <c r="B44" s="12" t="s">
        <v>35</v>
      </c>
      <c r="L44" s="5"/>
    </row>
    <row r="45">
      <c r="A45" s="4"/>
      <c r="L45" s="5"/>
    </row>
    <row r="46">
      <c r="A46" s="6" t="s">
        <v>36</v>
      </c>
      <c r="L46" s="5"/>
    </row>
    <row r="47">
      <c r="A47" s="6"/>
      <c r="L47" s="5"/>
    </row>
    <row r="48">
      <c r="A48" s="23" t="s">
        <v>37</v>
      </c>
      <c r="L48" s="5"/>
    </row>
    <row r="49">
      <c r="A49" s="6" t="s">
        <v>38</v>
      </c>
      <c r="B49" s="24">
        <v>1.4</v>
      </c>
      <c r="L49" s="5"/>
    </row>
    <row r="50">
      <c r="A50" s="4"/>
      <c r="L50" s="5"/>
    </row>
    <row r="51">
      <c r="A51" s="15" t="s">
        <v>34</v>
      </c>
      <c r="B51" s="12" t="s">
        <v>39</v>
      </c>
      <c r="L51" s="5"/>
    </row>
    <row r="52">
      <c r="A52" s="4"/>
      <c r="L52" s="5"/>
    </row>
    <row r="53">
      <c r="A53" s="4"/>
      <c r="B53" s="16">
        <f>-0.2899*1.4</f>
        <v>-0.40586</v>
      </c>
      <c r="L53" s="5"/>
    </row>
    <row r="54">
      <c r="A54" s="4"/>
      <c r="B54" s="16">
        <f>1.4+B53</f>
        <v>0.99414</v>
      </c>
      <c r="L54" s="5"/>
    </row>
    <row r="55">
      <c r="A55" s="4"/>
      <c r="B55" s="24">
        <v>-0.99414</v>
      </c>
      <c r="L55" s="5"/>
    </row>
    <row r="56">
      <c r="A56" s="4"/>
      <c r="B56" s="16">
        <f>EXP(B55)</f>
        <v>0.3700415435</v>
      </c>
      <c r="L56" s="5"/>
    </row>
    <row r="57">
      <c r="A57" s="4"/>
      <c r="B57" s="16">
        <f>1+B56</f>
        <v>1.370041543</v>
      </c>
      <c r="L57" s="5"/>
    </row>
    <row r="58">
      <c r="A58" s="21" t="s">
        <v>40</v>
      </c>
      <c r="B58" s="22">
        <f>1/B57</f>
        <v>0.7299048739</v>
      </c>
      <c r="L58" s="5"/>
    </row>
    <row r="59">
      <c r="A59" s="4"/>
      <c r="L59" s="5"/>
    </row>
    <row r="60">
      <c r="A60" s="6" t="s">
        <v>41</v>
      </c>
      <c r="L60" s="5"/>
    </row>
    <row r="61">
      <c r="A61" s="4"/>
      <c r="L61" s="5"/>
    </row>
    <row r="62">
      <c r="A62" s="25" t="s">
        <v>42</v>
      </c>
      <c r="L62" s="5"/>
    </row>
    <row r="63">
      <c r="A63" s="4"/>
      <c r="L63" s="5"/>
    </row>
    <row r="64">
      <c r="A64" s="23" t="s">
        <v>43</v>
      </c>
      <c r="L64" s="5"/>
    </row>
    <row r="65">
      <c r="A65" s="6" t="s">
        <v>38</v>
      </c>
      <c r="B65" s="24">
        <v>4.5</v>
      </c>
      <c r="L65" s="5"/>
    </row>
    <row r="66">
      <c r="A66" s="4"/>
      <c r="L66" s="5"/>
    </row>
    <row r="67">
      <c r="A67" s="6" t="s">
        <v>34</v>
      </c>
      <c r="B67" s="12" t="s">
        <v>44</v>
      </c>
      <c r="L67" s="5"/>
    </row>
    <row r="68">
      <c r="A68" s="4"/>
      <c r="L68" s="5"/>
    </row>
    <row r="69">
      <c r="A69" s="4"/>
      <c r="B69" s="16">
        <f>-0.2899*4.5</f>
        <v>-1.30455</v>
      </c>
      <c r="L69" s="5"/>
    </row>
    <row r="70">
      <c r="A70" s="4"/>
      <c r="B70" s="16">
        <f>1.4+B69</f>
        <v>0.09545</v>
      </c>
      <c r="L70" s="5"/>
    </row>
    <row r="71">
      <c r="A71" s="4"/>
      <c r="B71" s="24">
        <v>-0.09545</v>
      </c>
      <c r="L71" s="5"/>
    </row>
    <row r="72">
      <c r="A72" s="4"/>
      <c r="B72" s="16">
        <f>EXP(B71)</f>
        <v>0.9089638087</v>
      </c>
      <c r="L72" s="5"/>
    </row>
    <row r="73">
      <c r="A73" s="4"/>
      <c r="B73" s="16">
        <f>1+B72</f>
        <v>1.908963809</v>
      </c>
      <c r="L73" s="5"/>
    </row>
    <row r="74">
      <c r="A74" s="21" t="s">
        <v>40</v>
      </c>
      <c r="B74" s="22">
        <f>1/B73</f>
        <v>0.5238443995</v>
      </c>
      <c r="L74" s="5"/>
    </row>
    <row r="75">
      <c r="A75" s="4"/>
      <c r="L75" s="5"/>
    </row>
    <row r="76">
      <c r="A76" s="25" t="s">
        <v>45</v>
      </c>
      <c r="L76" s="5"/>
    </row>
    <row r="77">
      <c r="A77" s="4"/>
      <c r="L77" s="5"/>
    </row>
    <row r="78">
      <c r="A78" s="23" t="s">
        <v>46</v>
      </c>
      <c r="L78" s="5"/>
    </row>
    <row r="79">
      <c r="A79" s="6" t="s">
        <v>38</v>
      </c>
      <c r="B79" s="24">
        <v>5.1</v>
      </c>
      <c r="L79" s="5"/>
    </row>
    <row r="80">
      <c r="A80" s="6"/>
      <c r="B80" s="12"/>
      <c r="L80" s="5"/>
    </row>
    <row r="81">
      <c r="A81" s="6" t="s">
        <v>34</v>
      </c>
      <c r="B81" s="12" t="s">
        <v>47</v>
      </c>
      <c r="L81" s="5"/>
    </row>
    <row r="82">
      <c r="A82" s="4"/>
      <c r="L82" s="5"/>
    </row>
    <row r="83">
      <c r="A83" s="4"/>
      <c r="B83" s="16">
        <f>-0.2899*5.1</f>
        <v>-1.47849</v>
      </c>
      <c r="L83" s="5"/>
    </row>
    <row r="84">
      <c r="A84" s="4"/>
      <c r="B84" s="16">
        <f>1.4+B83</f>
        <v>-0.07849</v>
      </c>
      <c r="L84" s="5"/>
    </row>
    <row r="85">
      <c r="A85" s="4"/>
      <c r="B85" s="24">
        <v>0.07849</v>
      </c>
      <c r="L85" s="5"/>
    </row>
    <row r="86">
      <c r="A86" s="4"/>
      <c r="B86" s="16">
        <f>EXP(B85)</f>
        <v>1.081652539</v>
      </c>
      <c r="L86" s="5"/>
    </row>
    <row r="87">
      <c r="A87" s="4"/>
      <c r="B87" s="16">
        <f>1+B86</f>
        <v>2.081652539</v>
      </c>
      <c r="L87" s="5"/>
    </row>
    <row r="88">
      <c r="A88" s="21" t="s">
        <v>40</v>
      </c>
      <c r="B88" s="22">
        <f>1/B87</f>
        <v>0.4803875678</v>
      </c>
      <c r="L88" s="5"/>
    </row>
    <row r="89">
      <c r="A89" s="4"/>
      <c r="L89" s="5"/>
    </row>
    <row r="90">
      <c r="A90" s="25" t="s">
        <v>48</v>
      </c>
      <c r="L90" s="5"/>
    </row>
    <row r="91">
      <c r="A91" s="4"/>
      <c r="L91" s="5"/>
    </row>
    <row r="92">
      <c r="A92" s="23" t="s">
        <v>49</v>
      </c>
      <c r="L92" s="5"/>
    </row>
    <row r="93">
      <c r="A93" s="6" t="s">
        <v>38</v>
      </c>
      <c r="B93" s="24">
        <v>7.1</v>
      </c>
      <c r="L93" s="5"/>
    </row>
    <row r="94">
      <c r="A94" s="4"/>
      <c r="L94" s="5"/>
    </row>
    <row r="95">
      <c r="A95" s="15" t="s">
        <v>34</v>
      </c>
      <c r="B95" s="12" t="s">
        <v>50</v>
      </c>
      <c r="L95" s="5"/>
    </row>
    <row r="96">
      <c r="A96" s="4"/>
      <c r="L96" s="5"/>
    </row>
    <row r="97">
      <c r="A97" s="4"/>
      <c r="B97" s="16">
        <f>-0.2899*7.1</f>
        <v>-2.05829</v>
      </c>
      <c r="L97" s="5"/>
    </row>
    <row r="98">
      <c r="A98" s="4"/>
      <c r="B98" s="16">
        <f>1.4+B97</f>
        <v>-0.65829</v>
      </c>
      <c r="L98" s="5"/>
    </row>
    <row r="99">
      <c r="A99" s="4"/>
      <c r="B99" s="24">
        <v>0.65829</v>
      </c>
      <c r="L99" s="5"/>
    </row>
    <row r="100">
      <c r="A100" s="4"/>
      <c r="B100" s="16">
        <f>EXP(B99)</f>
        <v>1.931486667</v>
      </c>
      <c r="L100" s="5"/>
    </row>
    <row r="101">
      <c r="A101" s="4"/>
      <c r="B101" s="16">
        <f>1+B100</f>
        <v>2.931486667</v>
      </c>
      <c r="L101" s="5"/>
    </row>
    <row r="102">
      <c r="A102" s="21" t="s">
        <v>40</v>
      </c>
      <c r="B102" s="22">
        <f>1/B101</f>
        <v>0.3411238439</v>
      </c>
      <c r="L102" s="5"/>
    </row>
    <row r="103">
      <c r="A103" s="4"/>
      <c r="L103" s="5"/>
    </row>
    <row r="104">
      <c r="A104" s="25" t="s">
        <v>51</v>
      </c>
      <c r="L104" s="5"/>
    </row>
    <row r="105">
      <c r="A105" s="4"/>
      <c r="L105" s="5"/>
    </row>
    <row r="106">
      <c r="A106" s="23" t="s">
        <v>52</v>
      </c>
      <c r="L106" s="5"/>
    </row>
    <row r="107">
      <c r="A107" s="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26"/>
    </row>
    <row r="108">
      <c r="A108" s="7" t="s">
        <v>53</v>
      </c>
      <c r="B108" s="11">
        <v>-5.0</v>
      </c>
      <c r="C108" s="11">
        <v>-4.0</v>
      </c>
      <c r="D108" s="11">
        <v>-3.0</v>
      </c>
      <c r="E108" s="11">
        <v>-2.0</v>
      </c>
      <c r="F108" s="11">
        <v>-1.0</v>
      </c>
      <c r="G108" s="11">
        <v>0.0</v>
      </c>
      <c r="H108" s="11">
        <v>1.0</v>
      </c>
      <c r="I108" s="11">
        <v>2.0</v>
      </c>
      <c r="J108" s="11">
        <v>3.0</v>
      </c>
      <c r="K108" s="11">
        <v>4.0</v>
      </c>
      <c r="L108" s="11">
        <v>5.0</v>
      </c>
    </row>
    <row r="109">
      <c r="A109" s="11" t="s">
        <v>34</v>
      </c>
      <c r="B109" s="27" t="s">
        <v>54</v>
      </c>
      <c r="C109" s="27" t="s">
        <v>55</v>
      </c>
      <c r="D109" s="27" t="s">
        <v>56</v>
      </c>
      <c r="E109" s="27" t="s">
        <v>57</v>
      </c>
      <c r="F109" s="27" t="s">
        <v>58</v>
      </c>
      <c r="G109" s="27" t="s">
        <v>59</v>
      </c>
      <c r="H109" s="27" t="s">
        <v>60</v>
      </c>
      <c r="I109" s="27" t="s">
        <v>61</v>
      </c>
      <c r="J109" s="27" t="s">
        <v>62</v>
      </c>
      <c r="K109" s="27" t="s">
        <v>63</v>
      </c>
      <c r="L109" s="27" t="s">
        <v>64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>
      <c r="A111" s="28"/>
      <c r="B111" s="18">
        <f>-0.2899*-5</f>
        <v>1.4495</v>
      </c>
      <c r="C111" s="18">
        <f>-0.2899*-4</f>
        <v>1.1596</v>
      </c>
      <c r="D111" s="18">
        <f>-0.2899*-3</f>
        <v>0.8697</v>
      </c>
      <c r="E111" s="18">
        <f>-0.2899*-2</f>
        <v>0.5798</v>
      </c>
      <c r="F111" s="18">
        <f>-0.2899*-1</f>
        <v>0.2899</v>
      </c>
      <c r="G111" s="18">
        <f>-0.2899*0</f>
        <v>0</v>
      </c>
      <c r="H111" s="18">
        <f>-0.2899*1</f>
        <v>-0.2899</v>
      </c>
      <c r="I111" s="18">
        <f>-0.2899*2</f>
        <v>-0.5798</v>
      </c>
      <c r="J111" s="18">
        <f>-0.2899*3</f>
        <v>-0.8697</v>
      </c>
      <c r="K111" s="18">
        <f>-0.2899*4</f>
        <v>-1.1596</v>
      </c>
      <c r="L111" s="18">
        <f>-0.2899*5</f>
        <v>-1.4495</v>
      </c>
    </row>
    <row r="112">
      <c r="A112" s="28"/>
      <c r="B112" s="18">
        <f t="shared" ref="B112:L112" si="6">1.4+B111</f>
        <v>2.8495</v>
      </c>
      <c r="C112" s="18">
        <f t="shared" si="6"/>
        <v>2.5596</v>
      </c>
      <c r="D112" s="18">
        <f t="shared" si="6"/>
        <v>2.2697</v>
      </c>
      <c r="E112" s="18">
        <f t="shared" si="6"/>
        <v>1.9798</v>
      </c>
      <c r="F112" s="18">
        <f t="shared" si="6"/>
        <v>1.6899</v>
      </c>
      <c r="G112" s="18">
        <f t="shared" si="6"/>
        <v>1.4</v>
      </c>
      <c r="H112" s="18">
        <f t="shared" si="6"/>
        <v>1.1101</v>
      </c>
      <c r="I112" s="18">
        <f t="shared" si="6"/>
        <v>0.8202</v>
      </c>
      <c r="J112" s="18">
        <f t="shared" si="6"/>
        <v>0.5303</v>
      </c>
      <c r="K112" s="18">
        <f t="shared" si="6"/>
        <v>0.2404</v>
      </c>
      <c r="L112" s="18">
        <f t="shared" si="6"/>
        <v>-0.0495</v>
      </c>
    </row>
    <row r="113">
      <c r="A113" s="28"/>
      <c r="B113" s="11">
        <v>-2.8495</v>
      </c>
      <c r="C113" s="11">
        <v>-2.5596</v>
      </c>
      <c r="D113" s="11">
        <v>-2.2697</v>
      </c>
      <c r="E113" s="11">
        <v>-1.9798</v>
      </c>
      <c r="F113" s="11">
        <v>-1.6899</v>
      </c>
      <c r="G113" s="11">
        <v>-1.4</v>
      </c>
      <c r="H113" s="11">
        <v>-1.1101</v>
      </c>
      <c r="I113" s="11">
        <v>-0.8202</v>
      </c>
      <c r="J113" s="11">
        <v>-0.5303</v>
      </c>
      <c r="K113" s="11">
        <v>-0.2404</v>
      </c>
      <c r="L113" s="11">
        <v>0.0495</v>
      </c>
    </row>
    <row r="114">
      <c r="A114" s="28"/>
      <c r="B114" s="18">
        <f t="shared" ref="B114:L114" si="7">EXP(B113)</f>
        <v>0.05787325027</v>
      </c>
      <c r="C114" s="18">
        <f t="shared" si="7"/>
        <v>0.07733566852</v>
      </c>
      <c r="D114" s="18">
        <f t="shared" si="7"/>
        <v>0.1033431784</v>
      </c>
      <c r="E114" s="18">
        <f t="shared" si="7"/>
        <v>0.1380968539</v>
      </c>
      <c r="F114" s="18">
        <f t="shared" si="7"/>
        <v>0.1845379769</v>
      </c>
      <c r="G114" s="18">
        <f t="shared" si="7"/>
        <v>0.2465969639</v>
      </c>
      <c r="H114" s="18">
        <f t="shared" si="7"/>
        <v>0.3295260068</v>
      </c>
      <c r="I114" s="18">
        <f t="shared" si="7"/>
        <v>0.440343577</v>
      </c>
      <c r="J114" s="18">
        <f t="shared" si="7"/>
        <v>0.5884284147</v>
      </c>
      <c r="K114" s="18">
        <f t="shared" si="7"/>
        <v>0.7863132728</v>
      </c>
      <c r="L114" s="18">
        <f t="shared" si="7"/>
        <v>1.050745592</v>
      </c>
    </row>
    <row r="115">
      <c r="A115" s="28"/>
      <c r="B115" s="18">
        <f t="shared" ref="B115:L115" si="8">1+B114</f>
        <v>1.05787325</v>
      </c>
      <c r="C115" s="18">
        <f t="shared" si="8"/>
        <v>1.077335669</v>
      </c>
      <c r="D115" s="18">
        <f t="shared" si="8"/>
        <v>1.103343178</v>
      </c>
      <c r="E115" s="18">
        <f t="shared" si="8"/>
        <v>1.138096854</v>
      </c>
      <c r="F115" s="18">
        <f t="shared" si="8"/>
        <v>1.184537977</v>
      </c>
      <c r="G115" s="18">
        <f t="shared" si="8"/>
        <v>1.246596964</v>
      </c>
      <c r="H115" s="18">
        <f t="shared" si="8"/>
        <v>1.329526007</v>
      </c>
      <c r="I115" s="18">
        <f t="shared" si="8"/>
        <v>1.440343577</v>
      </c>
      <c r="J115" s="18">
        <f t="shared" si="8"/>
        <v>1.588428415</v>
      </c>
      <c r="K115" s="18">
        <f t="shared" si="8"/>
        <v>1.786313273</v>
      </c>
      <c r="L115" s="18">
        <f t="shared" si="8"/>
        <v>2.050745592</v>
      </c>
    </row>
    <row r="116">
      <c r="A116" s="7" t="s">
        <v>40</v>
      </c>
      <c r="B116" s="29">
        <f t="shared" ref="B116:L116" si="9">1/B115</f>
        <v>0.9452928314</v>
      </c>
      <c r="C116" s="29">
        <f t="shared" si="9"/>
        <v>0.9282158098</v>
      </c>
      <c r="D116" s="29">
        <f t="shared" si="9"/>
        <v>0.9063363236</v>
      </c>
      <c r="E116" s="29">
        <f t="shared" si="9"/>
        <v>0.8786598404</v>
      </c>
      <c r="F116" s="29">
        <f t="shared" si="9"/>
        <v>0.8442110085</v>
      </c>
      <c r="G116" s="29">
        <f t="shared" si="9"/>
        <v>0.8021838886</v>
      </c>
      <c r="H116" s="29">
        <f t="shared" si="9"/>
        <v>0.7521477541</v>
      </c>
      <c r="I116" s="29">
        <f t="shared" si="9"/>
        <v>0.6942787929</v>
      </c>
      <c r="J116" s="29">
        <f t="shared" si="9"/>
        <v>0.6295530795</v>
      </c>
      <c r="K116" s="29">
        <f t="shared" si="9"/>
        <v>0.5598122206</v>
      </c>
      <c r="L116" s="29">
        <f t="shared" si="9"/>
        <v>0.4876275262</v>
      </c>
    </row>
  </sheetData>
  <drawing r:id="rId1"/>
</worksheet>
</file>