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<sst xmlns="http://schemas.openxmlformats.org/spreadsheetml/2006/main" count="91" uniqueCount="59">
  <si>
    <r>
      <rPr>
        <rFont val="Arial"/>
        <b/>
        <color theme="1"/>
        <u/>
      </rPr>
      <t xml:space="preserve">Problem statement </t>
    </r>
    <r>
      <rPr>
        <rFont val="Arial"/>
        <b/>
        <color theme="1"/>
      </rPr>
      <t>: Classify the breast cancer</t>
    </r>
  </si>
  <si>
    <t>Dataset</t>
  </si>
  <si>
    <t>Row</t>
  </si>
  <si>
    <t>Clump thickness</t>
  </si>
  <si>
    <t>Cell size</t>
  </si>
  <si>
    <t>Class</t>
  </si>
  <si>
    <t>Based on clump thickness and cell size, the breast cancer can be classified to class 2 or class 4 type cancer.</t>
  </si>
  <si>
    <t>Step :1</t>
  </si>
  <si>
    <t>Converting the target classes + required column filtering</t>
  </si>
  <si>
    <t>~ Class 2 implies 0.</t>
  </si>
  <si>
    <t>~ Class 4 implies 1</t>
  </si>
  <si>
    <t>~ Using only row, clump thickness and class column</t>
  </si>
  <si>
    <t>Step: 2</t>
  </si>
  <si>
    <t>Initial prediction</t>
  </si>
  <si>
    <t xml:space="preserve">Average </t>
  </si>
  <si>
    <t>(Averages of class)</t>
  </si>
  <si>
    <t>Step: 3</t>
  </si>
  <si>
    <t>Calculate the error</t>
  </si>
  <si>
    <t>~ Consider average as predicted value</t>
  </si>
  <si>
    <t>~ Error = Actual - predict</t>
  </si>
  <si>
    <t>Class(Actual)</t>
  </si>
  <si>
    <t>Predict</t>
  </si>
  <si>
    <t>Error</t>
  </si>
  <si>
    <t>Insights</t>
  </si>
  <si>
    <t>- Row 5 is very wrong</t>
  </si>
  <si>
    <t>- Others are slightly wrong</t>
  </si>
  <si>
    <t>- XGBoost focus on bigger error</t>
  </si>
  <si>
    <t>Step: 4</t>
  </si>
  <si>
    <t>Model 1 Fix error</t>
  </si>
  <si>
    <t>~ Model learns the pattern, high clump is a big error</t>
  </si>
  <si>
    <t>~ So the rule, if Clump &gt; 7, Correction is +0.5, else Clump &lt;= 7, correction is -0.1.</t>
  </si>
  <si>
    <t>Step:5</t>
  </si>
  <si>
    <t>Update the prediction</t>
  </si>
  <si>
    <t>New prediction = Old prediction + Learning rate x Correction</t>
  </si>
  <si>
    <t>For simplicity, Learning rate is 1.</t>
  </si>
  <si>
    <t>Old Predict</t>
  </si>
  <si>
    <t>Correction</t>
  </si>
  <si>
    <t>New Predict</t>
  </si>
  <si>
    <t>Step:6</t>
  </si>
  <si>
    <t>Recalculate the error</t>
  </si>
  <si>
    <t>- Error reduced</t>
  </si>
  <si>
    <t>- Still row 5 is more error</t>
  </si>
  <si>
    <t>Step: 7</t>
  </si>
  <si>
    <t>Model 2 - Reduce error</t>
  </si>
  <si>
    <t>~ Still row 5 is big error</t>
  </si>
  <si>
    <t>~ So the rule, if Clump &gt; 7, Correction is +0.2, else Clump &lt;= 7, correction is -0.05.</t>
  </si>
  <si>
    <t>Step:8</t>
  </si>
  <si>
    <t>Step:9</t>
  </si>
  <si>
    <t>- Error is reduced</t>
  </si>
  <si>
    <t>Step: 10</t>
  </si>
  <si>
    <t>Final prediction - Use threshold 0.5</t>
  </si>
  <si>
    <t>Threshold &lt; 0.5, class is 0</t>
  </si>
  <si>
    <t>Threshold &gt; 0.5, class is 1</t>
  </si>
  <si>
    <t>Final prediction</t>
  </si>
  <si>
    <t>Inference of XGBoost</t>
  </si>
  <si>
    <t>Initial error</t>
  </si>
  <si>
    <t>Model 1 error</t>
  </si>
  <si>
    <t>Model 2 error</t>
  </si>
  <si>
    <t>XGBoost has reduced the error from 0.8 to 0.1 and -0.2 to -0.05.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</si>
</sst>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Font="1"/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1" fillId="2" fontId="3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horizontal="center"/>
    </xf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/>
    </xf>
    <xf borderId="1" fillId="2" fontId="3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4.63"/>
    <col customWidth="1" min="5" max="5" width="13.75"/>
  </cols>
  <sheetData>
    <row r="1">
      <c r="A1" s="1" t="s">
        <v>0</v>
      </c>
    </row>
    <row r="3">
      <c r="A3" s="2" t="s">
        <v>1</v>
      </c>
    </row>
    <row r="5">
      <c r="A5" s="3" t="s">
        <v>2</v>
      </c>
      <c r="B5" s="3" t="s">
        <v>3</v>
      </c>
      <c r="C5" s="3" t="s">
        <v>4</v>
      </c>
      <c r="D5" s="3" t="s">
        <v>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1.0</v>
      </c>
      <c r="B6" s="5">
        <v>5.0</v>
      </c>
      <c r="C6" s="5">
        <v>1.0</v>
      </c>
      <c r="D6" s="5">
        <v>2.0</v>
      </c>
    </row>
    <row r="7">
      <c r="A7" s="5">
        <v>2.0</v>
      </c>
      <c r="B7" s="5">
        <v>5.0</v>
      </c>
      <c r="C7" s="5">
        <v>4.0</v>
      </c>
      <c r="D7" s="5">
        <v>2.0</v>
      </c>
    </row>
    <row r="8">
      <c r="A8" s="5">
        <v>3.0</v>
      </c>
      <c r="B8" s="5">
        <v>3.0</v>
      </c>
      <c r="C8" s="5">
        <v>1.0</v>
      </c>
      <c r="D8" s="5">
        <v>2.0</v>
      </c>
    </row>
    <row r="9">
      <c r="A9" s="5">
        <v>4.0</v>
      </c>
      <c r="B9" s="5">
        <v>6.0</v>
      </c>
      <c r="C9" s="5">
        <v>8.0</v>
      </c>
      <c r="D9" s="5">
        <v>2.0</v>
      </c>
    </row>
    <row r="10">
      <c r="A10" s="5">
        <v>5.0</v>
      </c>
      <c r="B10" s="5">
        <v>8.0</v>
      </c>
      <c r="C10" s="5">
        <v>10.0</v>
      </c>
      <c r="D10" s="5">
        <v>4.0</v>
      </c>
    </row>
    <row r="12">
      <c r="A12" s="6" t="s">
        <v>6</v>
      </c>
    </row>
    <row r="14">
      <c r="A14" s="2" t="s">
        <v>7</v>
      </c>
      <c r="B14" s="6" t="s">
        <v>8</v>
      </c>
    </row>
    <row r="16">
      <c r="A16" s="6" t="s">
        <v>9</v>
      </c>
    </row>
    <row r="17">
      <c r="A17" s="6" t="s">
        <v>10</v>
      </c>
    </row>
    <row r="18">
      <c r="A18" s="7" t="s">
        <v>11</v>
      </c>
    </row>
    <row r="20">
      <c r="A20" s="3" t="s">
        <v>2</v>
      </c>
      <c r="B20" s="3" t="s">
        <v>3</v>
      </c>
      <c r="C20" s="3" t="s">
        <v>5</v>
      </c>
      <c r="D20" s="8"/>
    </row>
    <row r="21">
      <c r="A21" s="5">
        <v>1.0</v>
      </c>
      <c r="B21" s="5">
        <v>5.0</v>
      </c>
      <c r="C21" s="5">
        <v>0.0</v>
      </c>
      <c r="D21" s="9"/>
    </row>
    <row r="22">
      <c r="A22" s="5">
        <v>2.0</v>
      </c>
      <c r="B22" s="5">
        <v>5.0</v>
      </c>
      <c r="C22" s="5">
        <v>0.0</v>
      </c>
      <c r="D22" s="9"/>
    </row>
    <row r="23">
      <c r="A23" s="5">
        <v>3.0</v>
      </c>
      <c r="B23" s="5">
        <v>3.0</v>
      </c>
      <c r="C23" s="5">
        <v>0.0</v>
      </c>
      <c r="D23" s="9"/>
    </row>
    <row r="24">
      <c r="A24" s="5">
        <v>4.0</v>
      </c>
      <c r="B24" s="5">
        <v>6.0</v>
      </c>
      <c r="C24" s="5">
        <v>0.0</v>
      </c>
      <c r="D24" s="9"/>
    </row>
    <row r="25">
      <c r="A25" s="5">
        <v>5.0</v>
      </c>
      <c r="B25" s="5">
        <v>8.0</v>
      </c>
      <c r="C25" s="5">
        <v>1.0</v>
      </c>
      <c r="D25" s="9"/>
    </row>
    <row r="27">
      <c r="A27" s="2" t="s">
        <v>12</v>
      </c>
      <c r="B27" s="6" t="s">
        <v>13</v>
      </c>
    </row>
    <row r="29">
      <c r="A29" s="6" t="s">
        <v>14</v>
      </c>
      <c r="B29" s="10">
        <f>AVERAGE(C21:C25)</f>
        <v>0.2</v>
      </c>
      <c r="C29" s="6" t="s">
        <v>15</v>
      </c>
    </row>
    <row r="31">
      <c r="A31" s="2" t="s">
        <v>16</v>
      </c>
      <c r="B31" s="6" t="s">
        <v>17</v>
      </c>
    </row>
    <row r="32">
      <c r="A32" s="6"/>
    </row>
    <row r="33">
      <c r="A33" s="6" t="s">
        <v>18</v>
      </c>
    </row>
    <row r="34">
      <c r="A34" s="11" t="s">
        <v>19</v>
      </c>
      <c r="C34" s="8"/>
      <c r="D34" s="8"/>
      <c r="E34" s="8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8"/>
      <c r="B35" s="8"/>
      <c r="C35" s="8"/>
      <c r="D35" s="8"/>
      <c r="E35" s="8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" t="s">
        <v>2</v>
      </c>
      <c r="B36" s="3" t="s">
        <v>3</v>
      </c>
      <c r="C36" s="3" t="s">
        <v>20</v>
      </c>
      <c r="D36" s="3" t="s">
        <v>21</v>
      </c>
      <c r="E36" s="3" t="s">
        <v>22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>
        <v>1.0</v>
      </c>
      <c r="B37" s="5">
        <v>5.0</v>
      </c>
      <c r="C37" s="5">
        <v>0.0</v>
      </c>
      <c r="D37" s="5">
        <v>0.2</v>
      </c>
      <c r="E37" s="12">
        <f t="shared" ref="E37:E41" si="1">C37-D37</f>
        <v>-0.2</v>
      </c>
    </row>
    <row r="38">
      <c r="A38" s="5">
        <v>2.0</v>
      </c>
      <c r="B38" s="5">
        <v>5.0</v>
      </c>
      <c r="C38" s="5">
        <v>0.0</v>
      </c>
      <c r="D38" s="5">
        <v>0.2</v>
      </c>
      <c r="E38" s="12">
        <f t="shared" si="1"/>
        <v>-0.2</v>
      </c>
    </row>
    <row r="39">
      <c r="A39" s="5">
        <v>3.0</v>
      </c>
      <c r="B39" s="5">
        <v>3.0</v>
      </c>
      <c r="C39" s="5">
        <v>0.0</v>
      </c>
      <c r="D39" s="5">
        <v>0.2</v>
      </c>
      <c r="E39" s="12">
        <f t="shared" si="1"/>
        <v>-0.2</v>
      </c>
    </row>
    <row r="40">
      <c r="A40" s="5">
        <v>4.0</v>
      </c>
      <c r="B40" s="5">
        <v>6.0</v>
      </c>
      <c r="C40" s="5">
        <v>0.0</v>
      </c>
      <c r="D40" s="5">
        <v>0.2</v>
      </c>
      <c r="E40" s="12">
        <f t="shared" si="1"/>
        <v>-0.2</v>
      </c>
    </row>
    <row r="41">
      <c r="A41" s="5">
        <v>5.0</v>
      </c>
      <c r="B41" s="5">
        <v>8.0</v>
      </c>
      <c r="C41" s="5">
        <v>1.0</v>
      </c>
      <c r="D41" s="5">
        <v>0.2</v>
      </c>
      <c r="E41" s="13">
        <f t="shared" si="1"/>
        <v>0.8</v>
      </c>
    </row>
    <row r="43">
      <c r="A43" s="2" t="s">
        <v>23</v>
      </c>
    </row>
    <row r="45">
      <c r="A45" s="6" t="s">
        <v>24</v>
      </c>
    </row>
    <row r="46">
      <c r="A46" s="6" t="s">
        <v>25</v>
      </c>
    </row>
    <row r="47">
      <c r="A47" s="6" t="s">
        <v>26</v>
      </c>
    </row>
    <row r="49">
      <c r="A49" s="2" t="s">
        <v>27</v>
      </c>
      <c r="B49" s="7" t="s">
        <v>28</v>
      </c>
    </row>
    <row r="51">
      <c r="A51" s="6" t="s">
        <v>29</v>
      </c>
    </row>
    <row r="52">
      <c r="A52" s="6" t="s">
        <v>30</v>
      </c>
    </row>
    <row r="54">
      <c r="A54" s="2" t="s">
        <v>31</v>
      </c>
      <c r="B54" s="6" t="s">
        <v>32</v>
      </c>
    </row>
    <row r="56">
      <c r="A56" s="6" t="s">
        <v>33</v>
      </c>
    </row>
    <row r="58">
      <c r="A58" s="6" t="s">
        <v>34</v>
      </c>
    </row>
    <row r="60">
      <c r="A60" s="3" t="s">
        <v>2</v>
      </c>
      <c r="B60" s="3" t="s">
        <v>3</v>
      </c>
      <c r="C60" s="3" t="s">
        <v>20</v>
      </c>
      <c r="D60" s="3" t="s">
        <v>35</v>
      </c>
      <c r="E60" s="3" t="s">
        <v>36</v>
      </c>
      <c r="F60" s="14" t="s">
        <v>37</v>
      </c>
      <c r="G60" s="1"/>
    </row>
    <row r="61">
      <c r="A61" s="5">
        <v>1.0</v>
      </c>
      <c r="B61" s="5">
        <v>5.0</v>
      </c>
      <c r="C61" s="5">
        <v>0.0</v>
      </c>
      <c r="D61" s="5">
        <v>0.2</v>
      </c>
      <c r="E61" s="5">
        <v>-0.1</v>
      </c>
      <c r="F61" s="15">
        <f t="shared" ref="F61:F65" si="2">D61+(1*E61)</f>
        <v>0.1</v>
      </c>
    </row>
    <row r="62">
      <c r="A62" s="5">
        <v>2.0</v>
      </c>
      <c r="B62" s="5">
        <v>5.0</v>
      </c>
      <c r="C62" s="5">
        <v>0.0</v>
      </c>
      <c r="D62" s="5">
        <v>0.2</v>
      </c>
      <c r="E62" s="5">
        <v>-0.1</v>
      </c>
      <c r="F62" s="15">
        <f t="shared" si="2"/>
        <v>0.1</v>
      </c>
    </row>
    <row r="63">
      <c r="A63" s="5">
        <v>3.0</v>
      </c>
      <c r="B63" s="5">
        <v>3.0</v>
      </c>
      <c r="C63" s="5">
        <v>0.0</v>
      </c>
      <c r="D63" s="5">
        <v>0.2</v>
      </c>
      <c r="E63" s="5">
        <v>-0.1</v>
      </c>
      <c r="F63" s="15">
        <f t="shared" si="2"/>
        <v>0.1</v>
      </c>
    </row>
    <row r="64">
      <c r="A64" s="5">
        <v>4.0</v>
      </c>
      <c r="B64" s="5">
        <v>6.0</v>
      </c>
      <c r="C64" s="5">
        <v>0.0</v>
      </c>
      <c r="D64" s="5">
        <v>0.2</v>
      </c>
      <c r="E64" s="5">
        <v>-0.1</v>
      </c>
      <c r="F64" s="15">
        <f t="shared" si="2"/>
        <v>0.1</v>
      </c>
    </row>
    <row r="65">
      <c r="A65" s="5">
        <v>5.0</v>
      </c>
      <c r="B65" s="5">
        <v>8.0</v>
      </c>
      <c r="C65" s="5">
        <v>1.0</v>
      </c>
      <c r="D65" s="5">
        <v>0.2</v>
      </c>
      <c r="E65" s="5">
        <f>0.5</f>
        <v>0.5</v>
      </c>
      <c r="F65" s="15">
        <f t="shared" si="2"/>
        <v>0.7</v>
      </c>
    </row>
    <row r="67">
      <c r="A67" s="2" t="s">
        <v>38</v>
      </c>
      <c r="B67" s="6" t="s">
        <v>39</v>
      </c>
    </row>
    <row r="69">
      <c r="A69" s="3" t="s">
        <v>2</v>
      </c>
      <c r="B69" s="3" t="s">
        <v>20</v>
      </c>
      <c r="C69" s="16" t="s">
        <v>37</v>
      </c>
      <c r="D69" s="3" t="s">
        <v>22</v>
      </c>
      <c r="E69" s="8"/>
    </row>
    <row r="70">
      <c r="A70" s="5">
        <v>1.0</v>
      </c>
      <c r="B70" s="5">
        <v>0.0</v>
      </c>
      <c r="C70" s="5">
        <v>0.1</v>
      </c>
      <c r="D70" s="17">
        <f t="shared" ref="D70:D74" si="3">B70-C70</f>
        <v>-0.1</v>
      </c>
      <c r="E70" s="9"/>
    </row>
    <row r="71">
      <c r="A71" s="5">
        <v>2.0</v>
      </c>
      <c r="B71" s="5">
        <v>0.0</v>
      </c>
      <c r="C71" s="5">
        <v>0.1</v>
      </c>
      <c r="D71" s="17">
        <f t="shared" si="3"/>
        <v>-0.1</v>
      </c>
      <c r="E71" s="9"/>
    </row>
    <row r="72">
      <c r="A72" s="5">
        <v>3.0</v>
      </c>
      <c r="B72" s="5">
        <v>0.0</v>
      </c>
      <c r="C72" s="5">
        <v>0.1</v>
      </c>
      <c r="D72" s="17">
        <f t="shared" si="3"/>
        <v>-0.1</v>
      </c>
      <c r="E72" s="9"/>
    </row>
    <row r="73">
      <c r="A73" s="5">
        <v>4.0</v>
      </c>
      <c r="B73" s="5">
        <v>0.0</v>
      </c>
      <c r="C73" s="5">
        <v>0.1</v>
      </c>
      <c r="D73" s="17">
        <f t="shared" si="3"/>
        <v>-0.1</v>
      </c>
      <c r="E73" s="9"/>
    </row>
    <row r="74">
      <c r="A74" s="5">
        <v>5.0</v>
      </c>
      <c r="B74" s="5">
        <v>1.0</v>
      </c>
      <c r="C74" s="5">
        <v>0.7</v>
      </c>
      <c r="D74" s="18">
        <f t="shared" si="3"/>
        <v>0.3</v>
      </c>
      <c r="E74" s="9"/>
    </row>
    <row r="76">
      <c r="A76" s="2" t="s">
        <v>23</v>
      </c>
    </row>
    <row r="77">
      <c r="A77" s="6" t="s">
        <v>40</v>
      </c>
    </row>
    <row r="78">
      <c r="A78" s="6" t="s">
        <v>41</v>
      </c>
    </row>
    <row r="80">
      <c r="A80" s="2" t="s">
        <v>42</v>
      </c>
      <c r="B80" s="6" t="s">
        <v>43</v>
      </c>
    </row>
    <row r="82">
      <c r="A82" s="6" t="s">
        <v>44</v>
      </c>
    </row>
    <row r="83">
      <c r="A83" s="6" t="s">
        <v>45</v>
      </c>
    </row>
    <row r="85">
      <c r="A85" s="2" t="s">
        <v>46</v>
      </c>
      <c r="B85" s="6" t="s">
        <v>32</v>
      </c>
    </row>
    <row r="87">
      <c r="A87" s="6" t="s">
        <v>33</v>
      </c>
    </row>
    <row r="89">
      <c r="A89" s="6" t="s">
        <v>34</v>
      </c>
    </row>
    <row r="91">
      <c r="A91" s="3" t="s">
        <v>2</v>
      </c>
      <c r="B91" s="3" t="s">
        <v>3</v>
      </c>
      <c r="C91" s="3" t="s">
        <v>20</v>
      </c>
      <c r="D91" s="3" t="s">
        <v>35</v>
      </c>
      <c r="E91" s="3" t="s">
        <v>36</v>
      </c>
      <c r="F91" s="14" t="s">
        <v>37</v>
      </c>
    </row>
    <row r="92">
      <c r="A92" s="5">
        <v>1.0</v>
      </c>
      <c r="B92" s="5">
        <v>5.0</v>
      </c>
      <c r="C92" s="5">
        <v>0.0</v>
      </c>
      <c r="D92" s="5">
        <v>0.1</v>
      </c>
      <c r="E92" s="5">
        <v>-0.05</v>
      </c>
      <c r="F92" s="15">
        <f t="shared" ref="F92:F96" si="4">D92+(1*E92)</f>
        <v>0.05</v>
      </c>
    </row>
    <row r="93">
      <c r="A93" s="5">
        <v>2.0</v>
      </c>
      <c r="B93" s="5">
        <v>5.0</v>
      </c>
      <c r="C93" s="5">
        <v>0.0</v>
      </c>
      <c r="D93" s="5">
        <v>0.1</v>
      </c>
      <c r="E93" s="5">
        <v>-0.05</v>
      </c>
      <c r="F93" s="15">
        <f t="shared" si="4"/>
        <v>0.05</v>
      </c>
    </row>
    <row r="94">
      <c r="A94" s="5">
        <v>3.0</v>
      </c>
      <c r="B94" s="5">
        <v>3.0</v>
      </c>
      <c r="C94" s="5">
        <v>0.0</v>
      </c>
      <c r="D94" s="5">
        <v>0.1</v>
      </c>
      <c r="E94" s="5">
        <v>-0.05</v>
      </c>
      <c r="F94" s="15">
        <f t="shared" si="4"/>
        <v>0.05</v>
      </c>
    </row>
    <row r="95">
      <c r="A95" s="5">
        <v>4.0</v>
      </c>
      <c r="B95" s="5">
        <v>6.0</v>
      </c>
      <c r="C95" s="5">
        <v>0.0</v>
      </c>
      <c r="D95" s="5">
        <v>0.1</v>
      </c>
      <c r="E95" s="5">
        <v>-0.05</v>
      </c>
      <c r="F95" s="15">
        <f t="shared" si="4"/>
        <v>0.05</v>
      </c>
    </row>
    <row r="96">
      <c r="A96" s="5">
        <v>5.0</v>
      </c>
      <c r="B96" s="5">
        <v>8.0</v>
      </c>
      <c r="C96" s="5">
        <v>1.0</v>
      </c>
      <c r="D96" s="5">
        <v>0.7</v>
      </c>
      <c r="E96" s="5">
        <f>0.2</f>
        <v>0.2</v>
      </c>
      <c r="F96" s="15">
        <f t="shared" si="4"/>
        <v>0.9</v>
      </c>
    </row>
    <row r="98">
      <c r="A98" s="2" t="s">
        <v>47</v>
      </c>
      <c r="B98" s="6" t="s">
        <v>39</v>
      </c>
    </row>
    <row r="100">
      <c r="A100" s="3" t="s">
        <v>2</v>
      </c>
      <c r="B100" s="3" t="s">
        <v>20</v>
      </c>
      <c r="C100" s="16" t="s">
        <v>37</v>
      </c>
      <c r="D100" s="3" t="s">
        <v>22</v>
      </c>
      <c r="E100" s="8"/>
    </row>
    <row r="101">
      <c r="A101" s="5">
        <v>1.0</v>
      </c>
      <c r="B101" s="5">
        <v>0.0</v>
      </c>
      <c r="C101" s="5">
        <v>0.05</v>
      </c>
      <c r="D101" s="17">
        <f t="shared" ref="D101:D105" si="5">B101-C101</f>
        <v>-0.05</v>
      </c>
      <c r="E101" s="9"/>
    </row>
    <row r="102">
      <c r="A102" s="5">
        <v>2.0</v>
      </c>
      <c r="B102" s="5">
        <v>0.0</v>
      </c>
      <c r="C102" s="5">
        <v>0.05</v>
      </c>
      <c r="D102" s="17">
        <f t="shared" si="5"/>
        <v>-0.05</v>
      </c>
      <c r="E102" s="9"/>
    </row>
    <row r="103">
      <c r="A103" s="5">
        <v>3.0</v>
      </c>
      <c r="B103" s="5">
        <v>0.0</v>
      </c>
      <c r="C103" s="5">
        <v>0.05</v>
      </c>
      <c r="D103" s="17">
        <f t="shared" si="5"/>
        <v>-0.05</v>
      </c>
      <c r="E103" s="9"/>
    </row>
    <row r="104">
      <c r="A104" s="5">
        <v>4.0</v>
      </c>
      <c r="B104" s="5">
        <v>0.0</v>
      </c>
      <c r="C104" s="5">
        <v>0.05</v>
      </c>
      <c r="D104" s="17">
        <f t="shared" si="5"/>
        <v>-0.05</v>
      </c>
      <c r="E104" s="9"/>
    </row>
    <row r="105">
      <c r="A105" s="5">
        <v>5.0</v>
      </c>
      <c r="B105" s="5">
        <v>1.0</v>
      </c>
      <c r="C105" s="5">
        <v>0.9</v>
      </c>
      <c r="D105" s="18">
        <f t="shared" si="5"/>
        <v>0.1</v>
      </c>
      <c r="E105" s="9"/>
    </row>
    <row r="107">
      <c r="A107" s="2" t="s">
        <v>23</v>
      </c>
    </row>
    <row r="108">
      <c r="A108" s="6" t="s">
        <v>48</v>
      </c>
    </row>
    <row r="110">
      <c r="A110" s="2" t="s">
        <v>49</v>
      </c>
      <c r="B110" s="6" t="s">
        <v>50</v>
      </c>
    </row>
    <row r="112">
      <c r="A112" s="6" t="s">
        <v>51</v>
      </c>
    </row>
    <row r="113">
      <c r="A113" s="6" t="s">
        <v>52</v>
      </c>
    </row>
    <row r="115">
      <c r="A115" s="3" t="s">
        <v>2</v>
      </c>
      <c r="B115" s="3" t="s">
        <v>20</v>
      </c>
      <c r="C115" s="16" t="s">
        <v>37</v>
      </c>
      <c r="D115" s="3" t="s">
        <v>22</v>
      </c>
      <c r="E115" s="3" t="s">
        <v>53</v>
      </c>
    </row>
    <row r="116">
      <c r="A116" s="5">
        <v>1.0</v>
      </c>
      <c r="B116" s="5">
        <v>0.0</v>
      </c>
      <c r="C116" s="5">
        <v>0.05</v>
      </c>
      <c r="D116" s="5">
        <f t="shared" ref="D116:D120" si="6">B116-C116</f>
        <v>-0.05</v>
      </c>
      <c r="E116" s="15">
        <f t="shared" ref="E116:E120" si="7">IF(C116&gt;0.5,1,0)</f>
        <v>0</v>
      </c>
    </row>
    <row r="117">
      <c r="A117" s="5">
        <v>2.0</v>
      </c>
      <c r="B117" s="5">
        <v>0.0</v>
      </c>
      <c r="C117" s="5">
        <v>0.05</v>
      </c>
      <c r="D117" s="5">
        <f t="shared" si="6"/>
        <v>-0.05</v>
      </c>
      <c r="E117" s="15">
        <f t="shared" si="7"/>
        <v>0</v>
      </c>
    </row>
    <row r="118">
      <c r="A118" s="5">
        <v>3.0</v>
      </c>
      <c r="B118" s="5">
        <v>0.0</v>
      </c>
      <c r="C118" s="5">
        <v>0.05</v>
      </c>
      <c r="D118" s="5">
        <f t="shared" si="6"/>
        <v>-0.05</v>
      </c>
      <c r="E118" s="15">
        <f t="shared" si="7"/>
        <v>0</v>
      </c>
    </row>
    <row r="119">
      <c r="A119" s="5">
        <v>4.0</v>
      </c>
      <c r="B119" s="5">
        <v>0.0</v>
      </c>
      <c r="C119" s="5">
        <v>0.05</v>
      </c>
      <c r="D119" s="5">
        <f t="shared" si="6"/>
        <v>-0.05</v>
      </c>
      <c r="E119" s="15">
        <f t="shared" si="7"/>
        <v>0</v>
      </c>
    </row>
    <row r="120">
      <c r="A120" s="5">
        <v>5.0</v>
      </c>
      <c r="B120" s="5">
        <v>1.0</v>
      </c>
      <c r="C120" s="5">
        <v>0.9</v>
      </c>
      <c r="D120" s="5">
        <f t="shared" si="6"/>
        <v>0.1</v>
      </c>
      <c r="E120" s="15">
        <f t="shared" si="7"/>
        <v>1</v>
      </c>
    </row>
    <row r="122">
      <c r="A122" s="2" t="s">
        <v>54</v>
      </c>
    </row>
    <row r="123">
      <c r="A123" s="8"/>
      <c r="B123" s="8"/>
      <c r="C123" s="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3" t="s">
        <v>55</v>
      </c>
      <c r="B124" s="3" t="s">
        <v>56</v>
      </c>
      <c r="C124" s="3" t="s">
        <v>57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>
        <v>0.8</v>
      </c>
      <c r="B125" s="5">
        <v>0.3</v>
      </c>
      <c r="C125" s="5">
        <v>0.1</v>
      </c>
    </row>
    <row r="126">
      <c r="A126" s="5">
        <v>-0.2</v>
      </c>
      <c r="B126" s="5">
        <v>-0.1</v>
      </c>
      <c r="C126" s="5">
        <v>-0.05</v>
      </c>
    </row>
    <row r="128">
      <c r="A128" s="1" t="s">
        <v>58</v>
      </c>
    </row>
  </sheetData>
  <mergeCells count="1">
    <mergeCell ref="A34:B34"/>
  </mergeCells>
  <drawing r:id="rId1"/>
</worksheet>
</file>