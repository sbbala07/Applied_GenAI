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<sst xmlns="http://schemas.openxmlformats.org/spreadsheetml/2006/main" count="223" uniqueCount="103">
  <si>
    <r>
      <rPr>
        <rFont val="Arial"/>
        <b/>
        <color theme="1"/>
        <u/>
      </rPr>
      <t>Problem statement:</t>
    </r>
    <r>
      <rPr>
        <rFont val="Arial"/>
        <color theme="1"/>
      </rPr>
      <t xml:space="preserve"> Predict wheather we can play or not based on weather and temperature</t>
    </r>
  </si>
  <si>
    <t>Sample Dataset</t>
  </si>
  <si>
    <t>ID</t>
  </si>
  <si>
    <t>WEATHER</t>
  </si>
  <si>
    <t>TEMPERATURE</t>
  </si>
  <si>
    <t>PLAY</t>
  </si>
  <si>
    <t>Sunny</t>
  </si>
  <si>
    <t>Hot</t>
  </si>
  <si>
    <t>No</t>
  </si>
  <si>
    <t>Mild</t>
  </si>
  <si>
    <t>Yes</t>
  </si>
  <si>
    <t>Overcast</t>
  </si>
  <si>
    <t>Rain</t>
  </si>
  <si>
    <t>Cold</t>
  </si>
  <si>
    <r>
      <rPr>
        <rFont val="Arial"/>
        <b/>
        <color theme="1"/>
        <u/>
      </rPr>
      <t>Step: 1</t>
    </r>
    <r>
      <rPr>
        <rFont val="Arial"/>
        <b/>
        <color theme="1"/>
      </rPr>
      <t xml:space="preserve"> - Class Totals</t>
    </r>
  </si>
  <si>
    <t>Yes = 3</t>
  </si>
  <si>
    <t>No = 2</t>
  </si>
  <si>
    <t>N = 5</t>
  </si>
  <si>
    <r>
      <rPr>
        <rFont val="Arial"/>
        <b/>
        <color theme="1"/>
        <u/>
      </rPr>
      <t xml:space="preserve">Step: 2 </t>
    </r>
    <r>
      <rPr>
        <rFont val="Arial"/>
        <b/>
        <color theme="1"/>
      </rPr>
      <t>- Entropy of whole dataset(S)</t>
    </r>
  </si>
  <si>
    <t>Entropy(S) = -p(yes)log(p(yes)) - p(no)log(p(no))</t>
  </si>
  <si>
    <t>p(yes)</t>
  </si>
  <si>
    <t>p(no)</t>
  </si>
  <si>
    <t>log(p(yes))</t>
  </si>
  <si>
    <t>log(0.6)</t>
  </si>
  <si>
    <t>log(p(no))</t>
  </si>
  <si>
    <t>log(0.4)</t>
  </si>
  <si>
    <t>Entropy(S) = -(0.6) x (-0.736) - (0.4) x (-1.321)</t>
  </si>
  <si>
    <t>Entropy(S)</t>
  </si>
  <si>
    <r>
      <rPr>
        <rFont val="Arial"/>
        <b/>
        <color theme="1"/>
        <u/>
      </rPr>
      <t>Step:3</t>
    </r>
    <r>
      <rPr>
        <rFont val="Arial"/>
        <b/>
        <color theme="1"/>
      </rPr>
      <t xml:space="preserve"> - Information Gain</t>
    </r>
  </si>
  <si>
    <t>Gain(S,A) = Entropy(S) - Weighted Entropy after split</t>
  </si>
  <si>
    <t>(A) Split by Weather</t>
  </si>
  <si>
    <t>Weather values and their records</t>
  </si>
  <si>
    <t>Classes</t>
  </si>
  <si>
    <t>N</t>
  </si>
  <si>
    <t>Calculating Entropy for each weather classes</t>
  </si>
  <si>
    <t>Sunny(N = 2, Yes = 1, No = 1)</t>
  </si>
  <si>
    <t>log(0.5)</t>
  </si>
  <si>
    <t>Entropy(Sunny) = -(0.5 x -1) - (0.5 x -1)</t>
  </si>
  <si>
    <t>Entropy(Sunny)</t>
  </si>
  <si>
    <t>Overcast(N = 1, Yes = 1, No = 0)</t>
  </si>
  <si>
    <t>0/1</t>
  </si>
  <si>
    <t>log(1)</t>
  </si>
  <si>
    <t>log(0)</t>
  </si>
  <si>
    <t>Entropy(Overcast) = -(1 x 0) - (0 x inf)</t>
  </si>
  <si>
    <t>Entropy(Overcast)</t>
  </si>
  <si>
    <t>Rain(N = 2, Yes = 1, No = 1)</t>
  </si>
  <si>
    <t>Entropy(Rain) = - (0.5 x -1) - (0.5 x -1)</t>
  </si>
  <si>
    <t>Entropy(Rain)</t>
  </si>
  <si>
    <t>Compute weighted entropy after weather</t>
  </si>
  <si>
    <t>weighted entropy of weather = 2/5 x entropy(sunny) + 1/5 x entropy(overcast) + 2/5 x entropy(Rain)</t>
  </si>
  <si>
    <t>Weighted entropy of weather</t>
  </si>
  <si>
    <t xml:space="preserve">Gain(S,Weather) = Entropy(S) - Weighted entropy of weather after split </t>
  </si>
  <si>
    <t>Gain(S, Weather) = 0.97 - 0.8</t>
  </si>
  <si>
    <t>Gain(S, Weather) = 0.17</t>
  </si>
  <si>
    <t xml:space="preserve">(B) Split by Temperature </t>
  </si>
  <si>
    <t>Temperature values and their records</t>
  </si>
  <si>
    <t>Calculating Entropy for each Temperature classes</t>
  </si>
  <si>
    <t>Hot(N = 2, Yes = 1, No = 1)</t>
  </si>
  <si>
    <t>Entropy(Hot) = -(0.5 x -1) - (0.5 x -1)</t>
  </si>
  <si>
    <t>Entropy(Hot)</t>
  </si>
  <si>
    <t>Mild(N = 2, Yes = 2, No = 0)</t>
  </si>
  <si>
    <t>0/2</t>
  </si>
  <si>
    <t>Entropy(Mild) = -(1 x 0) - (0 x inf)</t>
  </si>
  <si>
    <t>Entropy(Mild)</t>
  </si>
  <si>
    <t>Cold(N = 1, Yes = 0, No = 1)</t>
  </si>
  <si>
    <t>Entropy(Rain) = - (0 x inf) - (1 x 0)</t>
  </si>
  <si>
    <t>Entropy(Cold)</t>
  </si>
  <si>
    <t>Compute weighted entropy after Temperature split</t>
  </si>
  <si>
    <t>weighted entropy of Temperature split = 2/5 x entropy(Hot) + 2/5 x entropy(Mild) + 1/5 x entropy(Cold)</t>
  </si>
  <si>
    <t>Weighted entropy of temperature split</t>
  </si>
  <si>
    <t xml:space="preserve">Gain(S,Temperature) = Entropy(S) - Weighted entropy of Temperature after split </t>
  </si>
  <si>
    <t>Gain(S, Temperature) = 0.97 - 0.4</t>
  </si>
  <si>
    <t>Gain(S, Temperature) = 0.57</t>
  </si>
  <si>
    <t>(C) Decide which attribute to split first</t>
  </si>
  <si>
    <t>Gain(Weather) = 0.17</t>
  </si>
  <si>
    <t>Gain(Temperature) = 0.57</t>
  </si>
  <si>
    <t>Temperature has the high information gain, so choose temperature as the Root Split.</t>
  </si>
  <si>
    <t>Step: 4 - Create Child nodes</t>
  </si>
  <si>
    <t>Root Node : Temperature</t>
  </si>
  <si>
    <r>
      <rPr>
        <rFont val="Arial"/>
        <b/>
        <color theme="1"/>
      </rPr>
      <t>Child A :</t>
    </r>
    <r>
      <rPr>
        <rFont val="Arial"/>
        <color theme="1"/>
      </rPr>
      <t xml:space="preserve"> Temperature = Mild(Records{2,4})</t>
    </r>
  </si>
  <si>
    <t>Yes =2, No =0, N=2</t>
  </si>
  <si>
    <t>p(No)</t>
  </si>
  <si>
    <t>log(yes)</t>
  </si>
  <si>
    <t>log(No)</t>
  </si>
  <si>
    <t>Entropy(Mild) = -p(yes) x log(p(yes)) - p(no) x log(p(no))</t>
  </si>
  <si>
    <t>Mild is the pure node and it is the leaf node.</t>
  </si>
  <si>
    <r>
      <rPr>
        <rFont val="Arial"/>
        <b/>
        <color theme="1"/>
      </rPr>
      <t xml:space="preserve">Child B </t>
    </r>
    <r>
      <rPr>
        <rFont val="Arial"/>
        <color theme="1"/>
      </rPr>
      <t>: Temperature = Cold(Records{5})</t>
    </r>
  </si>
  <si>
    <t>Yes =0, No =1, N=1</t>
  </si>
  <si>
    <t>Entropy(Cold) = -p(yes) x log(p(yes)) - p(no) x log(p(no))</t>
  </si>
  <si>
    <t>Cold node is a pure node and it is the leaf node.</t>
  </si>
  <si>
    <r>
      <rPr>
        <rFont val="Arial"/>
        <b/>
        <color theme="1"/>
      </rPr>
      <t>Child C</t>
    </r>
    <r>
      <rPr>
        <rFont val="Arial"/>
        <color theme="1"/>
      </rPr>
      <t xml:space="preserve"> : Temperature = Hot(Records{1,3})</t>
    </r>
  </si>
  <si>
    <t>Yes =1, No =1, N=2</t>
  </si>
  <si>
    <t>Entropy(Hot) = -p(yes) x log(p(yes)) - p(no) x log(p(no))</t>
  </si>
  <si>
    <t>Hot is a impure node and it is not a leaf node.</t>
  </si>
  <si>
    <t>Step:5 - Split the hot subset by weather</t>
  </si>
  <si>
    <t>Sunny(N = 1, Yes = 0, No = 1)</t>
  </si>
  <si>
    <t>Entropy(Sunny) = -(0 x -inf) - (1 x 0)</t>
  </si>
  <si>
    <t>Compute weighted entropy after hot subset split by weather</t>
  </si>
  <si>
    <t xml:space="preserve">weighted entropy of weather for hot subset = 1/2 x entropy(sunny) + 1/2 x entropy(overcast) </t>
  </si>
  <si>
    <t>Gain(Hot subset,Weather) = Entropy(Hot subset) - Weighted Entropy of weather for hot subset</t>
  </si>
  <si>
    <t>Gain(Hot subset, Weather) = 1 - 0</t>
  </si>
  <si>
    <t>Gain(Hot subset, Weather) = 1</t>
  </si>
  <si>
    <t>It is a perfect split, so we can split hot by weather.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</si>
</sst>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Font="1"/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3" numFmtId="0" xfId="0" applyAlignment="1" applyFill="1" applyFont="1">
      <alignment readingOrder="0"/>
    </xf>
    <xf borderId="0" fillId="4" fontId="1" numFmtId="0" xfId="0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6" fontId="3" numFmtId="0" xfId="0" applyAlignment="1" applyFill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1" fillId="9" fontId="1" numFmtId="0" xfId="0" applyAlignment="1" applyBorder="1" applyFill="1" applyFont="1">
      <alignment horizontal="center" readingOrder="0"/>
    </xf>
    <xf borderId="0" fillId="10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322</xdr:row>
      <xdr:rowOff>0</xdr:rowOff>
    </xdr:from>
    <xdr:ext cx="4876800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15.0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1.0</v>
      </c>
      <c r="B6" s="5" t="s">
        <v>6</v>
      </c>
      <c r="C6" s="5" t="s">
        <v>7</v>
      </c>
      <c r="D6" s="5" t="s">
        <v>8</v>
      </c>
    </row>
    <row r="7">
      <c r="A7" s="5">
        <v>2.0</v>
      </c>
      <c r="B7" s="5" t="s">
        <v>6</v>
      </c>
      <c r="C7" s="5" t="s">
        <v>9</v>
      </c>
      <c r="D7" s="5" t="s">
        <v>10</v>
      </c>
    </row>
    <row r="8">
      <c r="A8" s="5">
        <v>3.0</v>
      </c>
      <c r="B8" s="5" t="s">
        <v>11</v>
      </c>
      <c r="C8" s="5" t="s">
        <v>7</v>
      </c>
      <c r="D8" s="5" t="s">
        <v>10</v>
      </c>
    </row>
    <row r="9">
      <c r="A9" s="5">
        <v>4.0</v>
      </c>
      <c r="B9" s="5" t="s">
        <v>12</v>
      </c>
      <c r="C9" s="5" t="s">
        <v>9</v>
      </c>
      <c r="D9" s="5" t="s">
        <v>10</v>
      </c>
    </row>
    <row r="10">
      <c r="A10" s="5">
        <v>5.0</v>
      </c>
      <c r="B10" s="5" t="s">
        <v>12</v>
      </c>
      <c r="C10" s="5" t="s">
        <v>13</v>
      </c>
      <c r="D10" s="5" t="s">
        <v>8</v>
      </c>
    </row>
    <row r="12">
      <c r="A12" s="6" t="s">
        <v>14</v>
      </c>
    </row>
    <row r="13">
      <c r="A13" s="1"/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8">
      <c r="A18" s="6" t="s">
        <v>18</v>
      </c>
    </row>
    <row r="20">
      <c r="A20" s="7" t="s">
        <v>19</v>
      </c>
      <c r="B20" s="8"/>
    </row>
    <row r="22">
      <c r="A22" s="9" t="s">
        <v>20</v>
      </c>
      <c r="B22" s="10">
        <v>46086.0</v>
      </c>
      <c r="C22" s="11">
        <f>3/5</f>
        <v>0.6</v>
      </c>
    </row>
    <row r="23">
      <c r="A23" s="9" t="s">
        <v>21</v>
      </c>
      <c r="B23" s="10">
        <v>46058.0</v>
      </c>
      <c r="C23" s="11">
        <f>2/5</f>
        <v>0.4</v>
      </c>
    </row>
    <row r="25">
      <c r="A25" s="6" t="s">
        <v>22</v>
      </c>
      <c r="B25" s="6" t="s">
        <v>23</v>
      </c>
      <c r="C25" s="4">
        <f>LOG(0.6,2)</f>
        <v>-0.7369655942</v>
      </c>
    </row>
    <row r="26">
      <c r="A26" s="6" t="s">
        <v>24</v>
      </c>
      <c r="B26" s="6" t="s">
        <v>25</v>
      </c>
      <c r="C26" s="4">
        <f>LOG(0.4,2)</f>
        <v>-1.321928095</v>
      </c>
    </row>
    <row r="28">
      <c r="A28" s="1" t="s">
        <v>26</v>
      </c>
    </row>
    <row r="30">
      <c r="B30" s="12">
        <f>0.6*0.736</f>
        <v>0.4416</v>
      </c>
    </row>
    <row r="31">
      <c r="B31" s="1">
        <f>0.4*1.321</f>
        <v>0.5284</v>
      </c>
    </row>
    <row r="33">
      <c r="A33" s="13" t="s">
        <v>27</v>
      </c>
      <c r="B33" s="14">
        <f>B30+B31</f>
        <v>0.97</v>
      </c>
    </row>
    <row r="35">
      <c r="A35" s="6" t="s">
        <v>28</v>
      </c>
    </row>
    <row r="37">
      <c r="A37" s="15" t="s">
        <v>29</v>
      </c>
      <c r="B37" s="16"/>
    </row>
    <row r="39">
      <c r="A39" s="6" t="s">
        <v>30</v>
      </c>
    </row>
    <row r="41">
      <c r="A41" s="17" t="s">
        <v>31</v>
      </c>
    </row>
    <row r="43">
      <c r="A43" s="18" t="s">
        <v>32</v>
      </c>
      <c r="B43" s="18" t="s">
        <v>10</v>
      </c>
      <c r="C43" s="18" t="s">
        <v>8</v>
      </c>
      <c r="D43" s="18" t="s">
        <v>33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 t="s">
        <v>6</v>
      </c>
      <c r="B44" s="19">
        <v>1.0</v>
      </c>
      <c r="C44" s="19">
        <v>1.0</v>
      </c>
      <c r="D44" s="19">
        <v>2.0</v>
      </c>
    </row>
    <row r="45">
      <c r="A45" s="19" t="s">
        <v>11</v>
      </c>
      <c r="B45" s="19">
        <v>1.0</v>
      </c>
      <c r="C45" s="19">
        <v>0.0</v>
      </c>
      <c r="D45" s="19">
        <v>1.0</v>
      </c>
    </row>
    <row r="46">
      <c r="A46" s="19" t="s">
        <v>12</v>
      </c>
      <c r="B46" s="19">
        <v>1.0</v>
      </c>
      <c r="C46" s="19">
        <v>1.0</v>
      </c>
      <c r="D46" s="19">
        <v>2.0</v>
      </c>
    </row>
    <row r="48">
      <c r="A48" s="6" t="s">
        <v>34</v>
      </c>
    </row>
    <row r="50">
      <c r="A50" s="20" t="s">
        <v>35</v>
      </c>
    </row>
    <row r="52">
      <c r="A52" s="21" t="s">
        <v>20</v>
      </c>
      <c r="B52" s="10">
        <v>46024.0</v>
      </c>
      <c r="C52" s="11">
        <f t="shared" ref="C52:C53" si="1">1/2</f>
        <v>0.5</v>
      </c>
    </row>
    <row r="53">
      <c r="A53" s="21" t="s">
        <v>21</v>
      </c>
      <c r="B53" s="10">
        <v>46024.0</v>
      </c>
      <c r="C53" s="11">
        <f t="shared" si="1"/>
        <v>0.5</v>
      </c>
    </row>
    <row r="55">
      <c r="A55" s="1" t="s">
        <v>19</v>
      </c>
    </row>
    <row r="57">
      <c r="A57" s="21" t="s">
        <v>22</v>
      </c>
      <c r="B57" s="21" t="s">
        <v>36</v>
      </c>
      <c r="C57" s="11">
        <f t="shared" ref="C57:C58" si="2">LOG(0.5,2)</f>
        <v>-1</v>
      </c>
    </row>
    <row r="58">
      <c r="A58" s="21" t="s">
        <v>24</v>
      </c>
      <c r="B58" s="21" t="s">
        <v>36</v>
      </c>
      <c r="C58" s="11">
        <f t="shared" si="2"/>
        <v>-1</v>
      </c>
    </row>
    <row r="60">
      <c r="A60" s="1" t="s">
        <v>37</v>
      </c>
    </row>
    <row r="62">
      <c r="B62" s="12">
        <f t="shared" ref="B62:B63" si="3">0.5*-1</f>
        <v>-0.5</v>
      </c>
    </row>
    <row r="63">
      <c r="B63" s="12">
        <f t="shared" si="3"/>
        <v>-0.5</v>
      </c>
    </row>
    <row r="64">
      <c r="A64" s="13" t="s">
        <v>38</v>
      </c>
      <c r="B64" s="14">
        <f>-B62-B63</f>
        <v>1</v>
      </c>
    </row>
    <row r="67">
      <c r="A67" s="22" t="s">
        <v>39</v>
      </c>
    </row>
    <row r="69">
      <c r="A69" s="5" t="s">
        <v>20</v>
      </c>
      <c r="B69" s="23">
        <v>46023.0</v>
      </c>
      <c r="C69" s="24">
        <f>1/1</f>
        <v>1</v>
      </c>
    </row>
    <row r="70">
      <c r="A70" s="5" t="s">
        <v>21</v>
      </c>
      <c r="B70" s="5" t="s">
        <v>40</v>
      </c>
      <c r="C70" s="24">
        <f>0/1</f>
        <v>0</v>
      </c>
    </row>
    <row r="72">
      <c r="A72" s="1" t="s">
        <v>19</v>
      </c>
    </row>
    <row r="74">
      <c r="A74" s="5" t="s">
        <v>22</v>
      </c>
      <c r="B74" s="5" t="s">
        <v>41</v>
      </c>
      <c r="C74" s="5">
        <f>LOG(1,2)</f>
        <v>0</v>
      </c>
    </row>
    <row r="75">
      <c r="A75" s="5" t="s">
        <v>24</v>
      </c>
      <c r="B75" s="5" t="s">
        <v>42</v>
      </c>
      <c r="C75" s="24" t="str">
        <f>LOG(0,2)</f>
        <v>#NUM!</v>
      </c>
    </row>
    <row r="77">
      <c r="A77" s="1" t="s">
        <v>43</v>
      </c>
    </row>
    <row r="79">
      <c r="B79" s="1">
        <f>1*0</f>
        <v>0</v>
      </c>
    </row>
    <row r="80">
      <c r="B80" s="1">
        <v>0.0</v>
      </c>
    </row>
    <row r="81">
      <c r="A81" s="13" t="s">
        <v>44</v>
      </c>
      <c r="B81" s="14">
        <f>-B79-B80</f>
        <v>0</v>
      </c>
    </row>
    <row r="84">
      <c r="A84" s="22" t="s">
        <v>45</v>
      </c>
    </row>
    <row r="86">
      <c r="A86" s="5" t="s">
        <v>20</v>
      </c>
      <c r="B86" s="23">
        <v>46024.0</v>
      </c>
      <c r="C86" s="24">
        <f t="shared" ref="C86:C87" si="4">1/2</f>
        <v>0.5</v>
      </c>
    </row>
    <row r="87">
      <c r="A87" s="5" t="s">
        <v>21</v>
      </c>
      <c r="B87" s="23">
        <v>46024.0</v>
      </c>
      <c r="C87" s="24">
        <f t="shared" si="4"/>
        <v>0.5</v>
      </c>
    </row>
    <row r="89">
      <c r="A89" s="1" t="s">
        <v>19</v>
      </c>
    </row>
    <row r="91">
      <c r="A91" s="5" t="s">
        <v>22</v>
      </c>
      <c r="B91" s="5" t="s">
        <v>36</v>
      </c>
      <c r="C91" s="5">
        <f t="shared" ref="C91:C92" si="5">LOG(0.5,2)</f>
        <v>-1</v>
      </c>
    </row>
    <row r="92">
      <c r="A92" s="5" t="s">
        <v>24</v>
      </c>
      <c r="B92" s="5" t="s">
        <v>36</v>
      </c>
      <c r="C92" s="24">
        <f t="shared" si="5"/>
        <v>-1</v>
      </c>
    </row>
    <row r="94">
      <c r="A94" s="1" t="s">
        <v>46</v>
      </c>
    </row>
    <row r="96">
      <c r="B96" s="1">
        <f t="shared" ref="B96:B97" si="6">0.5*-1</f>
        <v>-0.5</v>
      </c>
    </row>
    <row r="97">
      <c r="B97" s="1">
        <f t="shared" si="6"/>
        <v>-0.5</v>
      </c>
    </row>
    <row r="98">
      <c r="A98" s="13" t="s">
        <v>47</v>
      </c>
      <c r="B98" s="14">
        <f>-B96-B97</f>
        <v>1</v>
      </c>
    </row>
    <row r="100">
      <c r="A100" s="17" t="s">
        <v>48</v>
      </c>
    </row>
    <row r="102" ht="30.75" customHeight="1">
      <c r="A102" s="1" t="s">
        <v>49</v>
      </c>
    </row>
    <row r="104">
      <c r="A104" s="25" t="s">
        <v>50</v>
      </c>
      <c r="B104" s="26">
        <f>(2/5)*(1)+(1/5)*(0)+(2/5)*(1)</f>
        <v>0.8</v>
      </c>
    </row>
    <row r="106">
      <c r="A106" s="1" t="s">
        <v>29</v>
      </c>
    </row>
    <row r="107">
      <c r="A107" s="1" t="s">
        <v>51</v>
      </c>
    </row>
    <row r="109">
      <c r="A109" s="1" t="s">
        <v>52</v>
      </c>
    </row>
    <row r="110">
      <c r="A110" s="12">
        <f>0.97-0.8</f>
        <v>0.17</v>
      </c>
    </row>
    <row r="112">
      <c r="A112" s="6" t="s">
        <v>53</v>
      </c>
    </row>
    <row r="116">
      <c r="A116" s="6" t="s">
        <v>54</v>
      </c>
    </row>
    <row r="118">
      <c r="A118" s="17" t="s">
        <v>55</v>
      </c>
    </row>
    <row r="120">
      <c r="A120" s="18" t="s">
        <v>32</v>
      </c>
      <c r="B120" s="18" t="s">
        <v>10</v>
      </c>
      <c r="C120" s="18" t="s">
        <v>8</v>
      </c>
      <c r="D120" s="18" t="s">
        <v>33</v>
      </c>
    </row>
    <row r="121">
      <c r="A121" s="19" t="s">
        <v>7</v>
      </c>
      <c r="B121" s="19">
        <v>1.0</v>
      </c>
      <c r="C121" s="19">
        <v>1.0</v>
      </c>
      <c r="D121" s="19">
        <v>2.0</v>
      </c>
    </row>
    <row r="122">
      <c r="A122" s="19" t="s">
        <v>9</v>
      </c>
      <c r="B122" s="19">
        <v>2.0</v>
      </c>
      <c r="C122" s="19">
        <v>0.0</v>
      </c>
      <c r="D122" s="19">
        <v>2.0</v>
      </c>
    </row>
    <row r="123">
      <c r="A123" s="19" t="s">
        <v>13</v>
      </c>
      <c r="B123" s="19">
        <v>0.0</v>
      </c>
      <c r="C123" s="19">
        <v>1.0</v>
      </c>
      <c r="D123" s="19">
        <v>1.0</v>
      </c>
    </row>
    <row r="125">
      <c r="A125" s="6" t="s">
        <v>56</v>
      </c>
    </row>
    <row r="127">
      <c r="A127" s="20" t="s">
        <v>57</v>
      </c>
    </row>
    <row r="129">
      <c r="A129" s="21" t="s">
        <v>20</v>
      </c>
      <c r="B129" s="10">
        <v>46024.0</v>
      </c>
      <c r="C129" s="11">
        <f t="shared" ref="C129:C130" si="7">1/2</f>
        <v>0.5</v>
      </c>
    </row>
    <row r="130">
      <c r="A130" s="21" t="s">
        <v>21</v>
      </c>
      <c r="B130" s="10">
        <v>46024.0</v>
      </c>
      <c r="C130" s="11">
        <f t="shared" si="7"/>
        <v>0.5</v>
      </c>
    </row>
    <row r="132">
      <c r="A132" s="1" t="s">
        <v>19</v>
      </c>
    </row>
    <row r="134">
      <c r="A134" s="21" t="s">
        <v>22</v>
      </c>
      <c r="B134" s="21" t="s">
        <v>36</v>
      </c>
      <c r="C134" s="11">
        <f t="shared" ref="C134:C135" si="8">LOG(0.5,2)</f>
        <v>-1</v>
      </c>
    </row>
    <row r="135">
      <c r="A135" s="21" t="s">
        <v>24</v>
      </c>
      <c r="B135" s="21" t="s">
        <v>36</v>
      </c>
      <c r="C135" s="11">
        <f t="shared" si="8"/>
        <v>-1</v>
      </c>
    </row>
    <row r="137">
      <c r="A137" s="1" t="s">
        <v>58</v>
      </c>
    </row>
    <row r="139">
      <c r="B139" s="12">
        <f t="shared" ref="B139:B140" si="9">0.5*-1</f>
        <v>-0.5</v>
      </c>
    </row>
    <row r="140">
      <c r="B140" s="12">
        <f t="shared" si="9"/>
        <v>-0.5</v>
      </c>
    </row>
    <row r="141">
      <c r="A141" s="13" t="s">
        <v>59</v>
      </c>
      <c r="B141" s="14">
        <f>-B139-B140</f>
        <v>1</v>
      </c>
    </row>
    <row r="144">
      <c r="A144" s="22" t="s">
        <v>60</v>
      </c>
    </row>
    <row r="146">
      <c r="A146" s="5" t="s">
        <v>20</v>
      </c>
      <c r="B146" s="23">
        <v>46055.0</v>
      </c>
      <c r="C146" s="24">
        <f>2/2</f>
        <v>1</v>
      </c>
    </row>
    <row r="147">
      <c r="A147" s="5" t="s">
        <v>21</v>
      </c>
      <c r="B147" s="5" t="s">
        <v>61</v>
      </c>
      <c r="C147" s="24">
        <f>0/2</f>
        <v>0</v>
      </c>
    </row>
    <row r="149">
      <c r="A149" s="1" t="s">
        <v>19</v>
      </c>
    </row>
    <row r="151">
      <c r="A151" s="5" t="s">
        <v>22</v>
      </c>
      <c r="B151" s="5" t="s">
        <v>41</v>
      </c>
      <c r="C151" s="5">
        <f>LOG(1,2)</f>
        <v>0</v>
      </c>
    </row>
    <row r="152">
      <c r="A152" s="5" t="s">
        <v>24</v>
      </c>
      <c r="B152" s="5" t="s">
        <v>42</v>
      </c>
      <c r="C152" s="24" t="str">
        <f>LOG(0,2)</f>
        <v>#NUM!</v>
      </c>
    </row>
    <row r="154">
      <c r="A154" s="1" t="s">
        <v>62</v>
      </c>
    </row>
    <row r="156">
      <c r="B156" s="1">
        <f>1*0</f>
        <v>0</v>
      </c>
    </row>
    <row r="157">
      <c r="B157" s="1">
        <v>0.0</v>
      </c>
    </row>
    <row r="158">
      <c r="A158" s="13" t="s">
        <v>63</v>
      </c>
      <c r="B158" s="14">
        <f>-B156-B157</f>
        <v>0</v>
      </c>
    </row>
    <row r="161">
      <c r="A161" s="22" t="s">
        <v>64</v>
      </c>
    </row>
    <row r="163">
      <c r="A163" s="5" t="s">
        <v>20</v>
      </c>
      <c r="B163" s="5" t="s">
        <v>40</v>
      </c>
      <c r="C163" s="24">
        <f>0/1</f>
        <v>0</v>
      </c>
    </row>
    <row r="164">
      <c r="A164" s="5" t="s">
        <v>21</v>
      </c>
      <c r="B164" s="23">
        <v>46023.0</v>
      </c>
      <c r="C164" s="24">
        <f>1/1</f>
        <v>1</v>
      </c>
    </row>
    <row r="166">
      <c r="A166" s="1" t="s">
        <v>19</v>
      </c>
    </row>
    <row r="168">
      <c r="A168" s="5" t="s">
        <v>22</v>
      </c>
      <c r="B168" s="5" t="s">
        <v>42</v>
      </c>
      <c r="C168" s="5" t="str">
        <f>LOG(0,2)</f>
        <v>#NUM!</v>
      </c>
    </row>
    <row r="169">
      <c r="A169" s="5" t="s">
        <v>24</v>
      </c>
      <c r="B169" s="5" t="s">
        <v>41</v>
      </c>
      <c r="C169" s="24">
        <f>LOG(1,2)</f>
        <v>0</v>
      </c>
    </row>
    <row r="171">
      <c r="A171" s="1" t="s">
        <v>65</v>
      </c>
    </row>
    <row r="173">
      <c r="B173" s="1">
        <v>0.0</v>
      </c>
    </row>
    <row r="174">
      <c r="B174" s="1">
        <f>1*0</f>
        <v>0</v>
      </c>
    </row>
    <row r="175">
      <c r="A175" s="13" t="s">
        <v>66</v>
      </c>
      <c r="B175" s="14">
        <f>-B173-B174</f>
        <v>0</v>
      </c>
    </row>
    <row r="177">
      <c r="A177" s="17" t="s">
        <v>67</v>
      </c>
    </row>
    <row r="179">
      <c r="A179" s="1" t="s">
        <v>68</v>
      </c>
    </row>
    <row r="181">
      <c r="A181" s="25" t="s">
        <v>69</v>
      </c>
      <c r="B181" s="26">
        <f>(2/5)*(1)+(2/5)*(0)+(1/5)*(0)</f>
        <v>0.4</v>
      </c>
    </row>
    <row r="183">
      <c r="A183" s="1" t="s">
        <v>29</v>
      </c>
    </row>
    <row r="184">
      <c r="A184" s="1" t="s">
        <v>70</v>
      </c>
    </row>
    <row r="186">
      <c r="A186" s="1" t="s">
        <v>71</v>
      </c>
    </row>
    <row r="187">
      <c r="A187" s="12">
        <f>0.97-0.4</f>
        <v>0.57</v>
      </c>
    </row>
    <row r="189">
      <c r="A189" s="6" t="s">
        <v>72</v>
      </c>
    </row>
    <row r="191">
      <c r="A191" s="1" t="s">
        <v>73</v>
      </c>
    </row>
    <row r="193">
      <c r="A193" s="6" t="s">
        <v>74</v>
      </c>
    </row>
    <row r="194">
      <c r="A194" s="6" t="s">
        <v>75</v>
      </c>
    </row>
    <row r="196">
      <c r="A196" s="6" t="s">
        <v>76</v>
      </c>
    </row>
    <row r="198">
      <c r="A198" s="2" t="s">
        <v>77</v>
      </c>
    </row>
    <row r="200">
      <c r="A200" s="6" t="s">
        <v>78</v>
      </c>
    </row>
    <row r="202">
      <c r="A202" s="1" t="s">
        <v>79</v>
      </c>
    </row>
    <row r="203">
      <c r="A203" s="1" t="s">
        <v>80</v>
      </c>
    </row>
    <row r="205">
      <c r="A205" s="5" t="s">
        <v>20</v>
      </c>
      <c r="B205" s="23">
        <v>46055.0</v>
      </c>
      <c r="C205" s="24">
        <f>2/2</f>
        <v>1</v>
      </c>
    </row>
    <row r="206">
      <c r="A206" s="5" t="s">
        <v>81</v>
      </c>
      <c r="B206" s="5" t="s">
        <v>61</v>
      </c>
      <c r="C206" s="24">
        <f>0/2</f>
        <v>0</v>
      </c>
    </row>
    <row r="208">
      <c r="A208" s="5" t="s">
        <v>82</v>
      </c>
      <c r="B208" s="5" t="s">
        <v>41</v>
      </c>
      <c r="C208" s="24">
        <f>LOG(1,2)</f>
        <v>0</v>
      </c>
    </row>
    <row r="209">
      <c r="A209" s="5" t="s">
        <v>83</v>
      </c>
      <c r="B209" s="5" t="s">
        <v>42</v>
      </c>
      <c r="C209" s="24" t="str">
        <f>LOG(0,2)</f>
        <v>#NUM!</v>
      </c>
    </row>
    <row r="211">
      <c r="A211" s="1" t="s">
        <v>84</v>
      </c>
    </row>
    <row r="213">
      <c r="B213" s="12">
        <f>-1*0</f>
        <v>0</v>
      </c>
    </row>
    <row r="214">
      <c r="B214" s="12">
        <f>-0*0</f>
        <v>0</v>
      </c>
    </row>
    <row r="216">
      <c r="A216" s="27" t="s">
        <v>63</v>
      </c>
      <c r="B216" s="28">
        <f>0+0</f>
        <v>0</v>
      </c>
    </row>
    <row r="218">
      <c r="A218" s="1" t="s">
        <v>85</v>
      </c>
    </row>
    <row r="221">
      <c r="A221" s="1" t="s">
        <v>86</v>
      </c>
    </row>
    <row r="222">
      <c r="A222" s="1" t="s">
        <v>87</v>
      </c>
    </row>
    <row r="224">
      <c r="A224" s="5" t="s">
        <v>20</v>
      </c>
      <c r="B224" s="5" t="s">
        <v>40</v>
      </c>
      <c r="C224" s="24">
        <f>0/1</f>
        <v>0</v>
      </c>
    </row>
    <row r="225">
      <c r="A225" s="5" t="s">
        <v>81</v>
      </c>
      <c r="B225" s="23">
        <v>46023.0</v>
      </c>
      <c r="C225" s="24">
        <f>1/1</f>
        <v>1</v>
      </c>
    </row>
    <row r="227">
      <c r="A227" s="5" t="s">
        <v>82</v>
      </c>
      <c r="B227" s="5" t="s">
        <v>42</v>
      </c>
      <c r="C227" s="24" t="str">
        <f>LOG(0,2)</f>
        <v>#NUM!</v>
      </c>
    </row>
    <row r="228">
      <c r="A228" s="5" t="s">
        <v>83</v>
      </c>
      <c r="B228" s="5" t="s">
        <v>41</v>
      </c>
      <c r="C228" s="24">
        <f>LOG(1,2)</f>
        <v>0</v>
      </c>
    </row>
    <row r="230">
      <c r="A230" s="1" t="s">
        <v>88</v>
      </c>
    </row>
    <row r="232">
      <c r="B232" s="12">
        <f t="shared" ref="B232:B233" si="10">-0*0</f>
        <v>0</v>
      </c>
    </row>
    <row r="233">
      <c r="B233" s="12">
        <f t="shared" si="10"/>
        <v>0</v>
      </c>
    </row>
    <row r="235">
      <c r="A235" s="27" t="s">
        <v>66</v>
      </c>
      <c r="B235" s="28">
        <f>0+0</f>
        <v>0</v>
      </c>
    </row>
    <row r="237">
      <c r="A237" s="1" t="s">
        <v>89</v>
      </c>
    </row>
    <row r="239">
      <c r="A239" s="1" t="s">
        <v>90</v>
      </c>
    </row>
    <row r="240">
      <c r="A240" s="1" t="s">
        <v>91</v>
      </c>
    </row>
    <row r="242">
      <c r="A242" s="21" t="s">
        <v>20</v>
      </c>
      <c r="B242" s="10">
        <v>46024.0</v>
      </c>
      <c r="C242" s="11">
        <f t="shared" ref="C242:C243" si="11">1/2</f>
        <v>0.5</v>
      </c>
    </row>
    <row r="243">
      <c r="A243" s="21" t="s">
        <v>81</v>
      </c>
      <c r="B243" s="10">
        <v>46024.0</v>
      </c>
      <c r="C243" s="11">
        <f t="shared" si="11"/>
        <v>0.5</v>
      </c>
    </row>
    <row r="245">
      <c r="A245" s="21" t="s">
        <v>82</v>
      </c>
      <c r="B245" s="21" t="s">
        <v>36</v>
      </c>
      <c r="C245" s="11">
        <f t="shared" ref="C245:C246" si="12">LOG(0.5,2)</f>
        <v>-1</v>
      </c>
    </row>
    <row r="246">
      <c r="A246" s="21" t="s">
        <v>83</v>
      </c>
      <c r="B246" s="21" t="s">
        <v>36</v>
      </c>
      <c r="C246" s="11">
        <f t="shared" si="12"/>
        <v>-1</v>
      </c>
    </row>
    <row r="248">
      <c r="A248" s="1" t="s">
        <v>92</v>
      </c>
    </row>
    <row r="250">
      <c r="B250" s="12">
        <f t="shared" ref="B250:B251" si="13">-0.5*(-1)</f>
        <v>0.5</v>
      </c>
    </row>
    <row r="251">
      <c r="B251" s="12">
        <f t="shared" si="13"/>
        <v>0.5</v>
      </c>
    </row>
    <row r="253">
      <c r="A253" s="27" t="s">
        <v>59</v>
      </c>
      <c r="B253" s="27">
        <f>0.5+0.5</f>
        <v>1</v>
      </c>
    </row>
    <row r="255">
      <c r="A255" s="1" t="s">
        <v>93</v>
      </c>
    </row>
    <row r="257">
      <c r="A257" s="6" t="s">
        <v>94</v>
      </c>
    </row>
    <row r="259">
      <c r="A259" s="3" t="s">
        <v>2</v>
      </c>
      <c r="B259" s="3" t="s">
        <v>3</v>
      </c>
      <c r="C259" s="3" t="s">
        <v>4</v>
      </c>
      <c r="D259" s="3" t="s">
        <v>5</v>
      </c>
    </row>
    <row r="260">
      <c r="A260" s="29">
        <v>1.0</v>
      </c>
      <c r="B260" s="29" t="s">
        <v>6</v>
      </c>
      <c r="C260" s="29" t="s">
        <v>7</v>
      </c>
      <c r="D260" s="29" t="s">
        <v>8</v>
      </c>
    </row>
    <row r="261">
      <c r="A261" s="29">
        <v>3.0</v>
      </c>
      <c r="B261" s="29" t="s">
        <v>11</v>
      </c>
      <c r="C261" s="29" t="s">
        <v>7</v>
      </c>
      <c r="D261" s="29" t="s">
        <v>10</v>
      </c>
    </row>
    <row r="264">
      <c r="A264" s="17" t="s">
        <v>31</v>
      </c>
    </row>
    <row r="266">
      <c r="A266" s="18" t="s">
        <v>32</v>
      </c>
      <c r="B266" s="18" t="s">
        <v>10</v>
      </c>
      <c r="C266" s="18" t="s">
        <v>8</v>
      </c>
      <c r="D266" s="18" t="s">
        <v>33</v>
      </c>
      <c r="E266" s="4"/>
    </row>
    <row r="267">
      <c r="A267" s="19" t="s">
        <v>6</v>
      </c>
      <c r="B267" s="19">
        <v>0.0</v>
      </c>
      <c r="C267" s="19">
        <v>1.0</v>
      </c>
      <c r="D267" s="19">
        <v>1.0</v>
      </c>
    </row>
    <row r="268">
      <c r="A268" s="19" t="s">
        <v>11</v>
      </c>
      <c r="B268" s="19">
        <v>1.0</v>
      </c>
      <c r="C268" s="19">
        <v>0.0</v>
      </c>
      <c r="D268" s="19">
        <v>1.0</v>
      </c>
    </row>
    <row r="270">
      <c r="A270" s="6" t="s">
        <v>34</v>
      </c>
    </row>
    <row r="272">
      <c r="A272" s="20" t="s">
        <v>95</v>
      </c>
    </row>
    <row r="274">
      <c r="A274" s="21" t="s">
        <v>20</v>
      </c>
      <c r="B274" s="5" t="s">
        <v>40</v>
      </c>
      <c r="C274" s="24">
        <f>0/1</f>
        <v>0</v>
      </c>
    </row>
    <row r="275">
      <c r="A275" s="21" t="s">
        <v>21</v>
      </c>
      <c r="B275" s="23">
        <v>46023.0</v>
      </c>
      <c r="C275" s="24">
        <f>1/1</f>
        <v>1</v>
      </c>
    </row>
    <row r="277">
      <c r="A277" s="1" t="s">
        <v>19</v>
      </c>
    </row>
    <row r="279">
      <c r="A279" s="21" t="s">
        <v>22</v>
      </c>
      <c r="B279" s="5" t="s">
        <v>42</v>
      </c>
      <c r="C279" s="24" t="str">
        <f>LOG(0,2)</f>
        <v>#NUM!</v>
      </c>
    </row>
    <row r="280">
      <c r="A280" s="21" t="s">
        <v>24</v>
      </c>
      <c r="B280" s="5" t="s">
        <v>41</v>
      </c>
      <c r="C280" s="24">
        <f>LOG(1,2)</f>
        <v>0</v>
      </c>
    </row>
    <row r="282">
      <c r="A282" s="1" t="s">
        <v>96</v>
      </c>
    </row>
    <row r="284">
      <c r="B284" s="12">
        <f>0*0</f>
        <v>0</v>
      </c>
    </row>
    <row r="285">
      <c r="B285" s="12">
        <f>1*0</f>
        <v>0</v>
      </c>
    </row>
    <row r="286">
      <c r="A286" s="13" t="s">
        <v>38</v>
      </c>
      <c r="B286" s="14">
        <f>-B284-B285</f>
        <v>0</v>
      </c>
    </row>
    <row r="289">
      <c r="A289" s="22" t="s">
        <v>39</v>
      </c>
    </row>
    <row r="291">
      <c r="A291" s="5" t="s">
        <v>20</v>
      </c>
      <c r="B291" s="23">
        <v>46023.0</v>
      </c>
      <c r="C291" s="24">
        <f>1/1</f>
        <v>1</v>
      </c>
    </row>
    <row r="292">
      <c r="A292" s="5" t="s">
        <v>21</v>
      </c>
      <c r="B292" s="5" t="s">
        <v>40</v>
      </c>
      <c r="C292" s="24">
        <f>0/1</f>
        <v>0</v>
      </c>
    </row>
    <row r="294">
      <c r="A294" s="1" t="s">
        <v>19</v>
      </c>
    </row>
    <row r="296">
      <c r="A296" s="5" t="s">
        <v>22</v>
      </c>
      <c r="B296" s="5" t="s">
        <v>41</v>
      </c>
      <c r="C296" s="5">
        <f>LOG(1,2)</f>
        <v>0</v>
      </c>
    </row>
    <row r="297">
      <c r="A297" s="5" t="s">
        <v>24</v>
      </c>
      <c r="B297" s="5" t="s">
        <v>42</v>
      </c>
      <c r="C297" s="24" t="str">
        <f>LOG(0,2)</f>
        <v>#NUM!</v>
      </c>
    </row>
    <row r="299">
      <c r="A299" s="1" t="s">
        <v>43</v>
      </c>
    </row>
    <row r="301">
      <c r="B301" s="1">
        <f>1*0</f>
        <v>0</v>
      </c>
    </row>
    <row r="302">
      <c r="B302" s="1">
        <v>0.0</v>
      </c>
    </row>
    <row r="303">
      <c r="A303" s="13" t="s">
        <v>44</v>
      </c>
      <c r="B303" s="14">
        <f>-B301-B302</f>
        <v>0</v>
      </c>
    </row>
    <row r="306">
      <c r="A306" s="17" t="s">
        <v>97</v>
      </c>
    </row>
    <row r="308">
      <c r="A308" s="1" t="s">
        <v>98</v>
      </c>
    </row>
    <row r="310">
      <c r="A310" s="25" t="s">
        <v>50</v>
      </c>
      <c r="B310" s="26">
        <f>(1/2)*(0)+(1/2)*(0)</f>
        <v>0</v>
      </c>
    </row>
    <row r="312">
      <c r="A312" s="1" t="s">
        <v>99</v>
      </c>
    </row>
    <row r="315">
      <c r="A315" s="1" t="s">
        <v>100</v>
      </c>
    </row>
    <row r="316">
      <c r="A316" s="12">
        <f>1-0</f>
        <v>1</v>
      </c>
    </row>
    <row r="318">
      <c r="A318" s="30" t="s">
        <v>101</v>
      </c>
    </row>
    <row r="320">
      <c r="A320" s="1" t="s">
        <v>102</v>
      </c>
    </row>
  </sheetData>
  <drawing r:id="rId1"/>
</worksheet>
</file>